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zzle\Dropbox\UCL\Project\Final report\MScProject\Minimisation\"/>
    </mc:Choice>
  </mc:AlternateContent>
  <bookViews>
    <workbookView xWindow="0" yWindow="0" windowWidth="23040" windowHeight="9084" tabRatio="658" firstSheet="3" activeTab="5"/>
  </bookViews>
  <sheets>
    <sheet name="Sheet1" sheetId="1" state="hidden" r:id="rId1"/>
    <sheet name="Sheet2" sheetId="2" state="hidden" r:id="rId2"/>
    <sheet name="SigmaSolver" sheetId="3" r:id="rId3"/>
    <sheet name="1Mode case" sheetId="6" r:id="rId4"/>
    <sheet name="2Mode Case" sheetId="5" r:id="rId5"/>
    <sheet name="2Mode Case (Cooling )" sheetId="13" r:id="rId6"/>
    <sheet name="2Mode Case (Beamsplitter TBC)" sheetId="14" r:id="rId7"/>
  </sheets>
  <functionGroups builtInGroupCount="18"/>
  <definedNames>
    <definedName name="Chi" localSheetId="4">'2Mode Case'!$C$3</definedName>
    <definedName name="Chi" localSheetId="6">'2Mode Case (Beamsplitter TBC)'!$C$3</definedName>
    <definedName name="Chi_1" localSheetId="5">'2Mode Case (Cooling )'!$C$11</definedName>
    <definedName name="Chi_2" localSheetId="5">'2Mode Case (Cooling )'!$C$12</definedName>
    <definedName name="Diffusion" localSheetId="4">'2Mode Case'!$C$11:$F$14</definedName>
    <definedName name="Diffusion" localSheetId="6">'2Mode Case (Beamsplitter TBC)'!$C$13:$F$16</definedName>
    <definedName name="Diffusion" localSheetId="5">'2Mode Case (Cooling )'!$C$13:$F$16</definedName>
    <definedName name="Drift" localSheetId="4">'2Mode Case'!$O$17:$R$20</definedName>
    <definedName name="Drift" localSheetId="6">'2Mode Case (Beamsplitter TBC)'!$O$21:$R$24</definedName>
    <definedName name="Drift" localSheetId="5">'2Mode Case (Cooling )'!$O$21:$R$24</definedName>
    <definedName name="Hamiltonian" localSheetId="3">'1Mode case'!$C$9:$D$10</definedName>
    <definedName name="Hamiltonian" localSheetId="4">'2Mode Case'!$O$5:$R$8</definedName>
    <definedName name="Hamiltonian" localSheetId="6">'2Mode Case (Beamsplitter TBC)'!$C$5:$F$8</definedName>
    <definedName name="Hamiltonian" localSheetId="5">'2Mode Case (Cooling )'!$O$5:$R$8</definedName>
    <definedName name="Identity" localSheetId="6">'2Mode Case (Beamsplitter TBC)'!$C$26:$F$29</definedName>
    <definedName name="Identity" localSheetId="5">'2Mode Case (Cooling )'!$C$26:$F$29</definedName>
    <definedName name="Identity">'2Mode Case'!$C$22:$F$25</definedName>
    <definedName name="Kappa1" localSheetId="5">'2Mode Case (Cooling )'!$C$18</definedName>
    <definedName name="Kappa2" localSheetId="5">'2Mode Case (Cooling )'!$C$19</definedName>
    <definedName name="Lower" localSheetId="4">'2Mode Case'!$H$5:$K$8</definedName>
    <definedName name="Lower" localSheetId="6">'2Mode Case (Beamsplitter TBC)'!$H$5:$K$8</definedName>
    <definedName name="Lower" localSheetId="5">'2Mode Case (Cooling )'!$H$5:$K$8</definedName>
    <definedName name="N" localSheetId="5">'2Mode Case (Cooling )'!$O$5</definedName>
    <definedName name="solver_adj" localSheetId="3" hidden="1">'1Mode case'!$C$2:$C$4</definedName>
    <definedName name="solver_adj" localSheetId="4" hidden="1">'2Mode Case'!$I$3,'2Mode Case'!$K$3,'2Mode Case'!$N$3,'2Mode Case'!$R$3</definedName>
    <definedName name="solver_adj" localSheetId="6" hidden="1">'2Mode Case (Beamsplitter TBC)'!$C$4</definedName>
    <definedName name="solver_adj" localSheetId="5" hidden="1">'2Mode Case (Cooling )'!$J$3:$R$3</definedName>
    <definedName name="solver_cvg" localSheetId="3" hidden="1">0.0001</definedName>
    <definedName name="solver_cvg" localSheetId="4" hidden="1">0.0001</definedName>
    <definedName name="solver_cvg" localSheetId="6" hidden="1">0.0001</definedName>
    <definedName name="solver_cvg" localSheetId="5" hidden="1">0.0001</definedName>
    <definedName name="solver_drv" localSheetId="3" hidden="1">1</definedName>
    <definedName name="solver_drv" localSheetId="4" hidden="1">1</definedName>
    <definedName name="solver_drv" localSheetId="6" hidden="1">1</definedName>
    <definedName name="solver_drv" localSheetId="5" hidden="1">1</definedName>
    <definedName name="solver_eng" localSheetId="3" hidden="1">1</definedName>
    <definedName name="solver_eng" localSheetId="4" hidden="1">1</definedName>
    <definedName name="solver_eng" localSheetId="6" hidden="1">1</definedName>
    <definedName name="solver_eng" localSheetId="5" hidden="1">1</definedName>
    <definedName name="solver_est" localSheetId="3" hidden="1">1</definedName>
    <definedName name="solver_est" localSheetId="4" hidden="1">1</definedName>
    <definedName name="solver_est" localSheetId="6" hidden="1">1</definedName>
    <definedName name="solver_est" localSheetId="5" hidden="1">1</definedName>
    <definedName name="solver_itr" localSheetId="3" hidden="1">2147483647</definedName>
    <definedName name="solver_itr" localSheetId="4" hidden="1">2147483647</definedName>
    <definedName name="solver_itr" localSheetId="6" hidden="1">2147483647</definedName>
    <definedName name="solver_itr" localSheetId="5" hidden="1">2147483647</definedName>
    <definedName name="solver_mip" localSheetId="3" hidden="1">2147483647</definedName>
    <definedName name="solver_mip" localSheetId="4" hidden="1">2147483647</definedName>
    <definedName name="solver_mip" localSheetId="6" hidden="1">2147483647</definedName>
    <definedName name="solver_mip" localSheetId="5" hidden="1">2147483647</definedName>
    <definedName name="solver_mni" localSheetId="3" hidden="1">30</definedName>
    <definedName name="solver_mni" localSheetId="4" hidden="1">30</definedName>
    <definedName name="solver_mni" localSheetId="6" hidden="1">30</definedName>
    <definedName name="solver_mni" localSheetId="5" hidden="1">30</definedName>
    <definedName name="solver_mrt" localSheetId="3" hidden="1">0.075</definedName>
    <definedName name="solver_mrt" localSheetId="4" hidden="1">0.075</definedName>
    <definedName name="solver_mrt" localSheetId="6" hidden="1">0.075</definedName>
    <definedName name="solver_mrt" localSheetId="5" hidden="1">0.075</definedName>
    <definedName name="solver_msl" localSheetId="3" hidden="1">2</definedName>
    <definedName name="solver_msl" localSheetId="4" hidden="1">2</definedName>
    <definedName name="solver_msl" localSheetId="6" hidden="1">2</definedName>
    <definedName name="solver_msl" localSheetId="5" hidden="1">2</definedName>
    <definedName name="solver_neg" localSheetId="3" hidden="1">2</definedName>
    <definedName name="solver_neg" localSheetId="4" hidden="1">2</definedName>
    <definedName name="solver_neg" localSheetId="6" hidden="1">2</definedName>
    <definedName name="solver_neg" localSheetId="5" hidden="1">2</definedName>
    <definedName name="solver_nod" localSheetId="3" hidden="1">2147483647</definedName>
    <definedName name="solver_nod" localSheetId="4" hidden="1">2147483647</definedName>
    <definedName name="solver_nod" localSheetId="6" hidden="1">2147483647</definedName>
    <definedName name="solver_nod" localSheetId="5" hidden="1">2147483647</definedName>
    <definedName name="solver_num" localSheetId="3" hidden="1">0</definedName>
    <definedName name="solver_num" localSheetId="4" hidden="1">0</definedName>
    <definedName name="solver_num" localSheetId="6" hidden="1">0</definedName>
    <definedName name="solver_num" localSheetId="5" hidden="1">0</definedName>
    <definedName name="solver_nwt" localSheetId="3" hidden="1">1</definedName>
    <definedName name="solver_nwt" localSheetId="4" hidden="1">1</definedName>
    <definedName name="solver_nwt" localSheetId="6" hidden="1">1</definedName>
    <definedName name="solver_nwt" localSheetId="5" hidden="1">1</definedName>
    <definedName name="solver_opt" localSheetId="3" hidden="1">'1Mode case'!$J$2</definedName>
    <definedName name="solver_opt" localSheetId="4" hidden="1">'2Mode Case'!$W$3</definedName>
    <definedName name="solver_opt" localSheetId="6" hidden="1">'2Mode Case (Beamsplitter TBC)'!$I$3</definedName>
    <definedName name="solver_opt" localSheetId="5" hidden="1">'2Mode Case (Cooling )'!$A$1</definedName>
    <definedName name="solver_pre" localSheetId="3" hidden="1">0.0000001</definedName>
    <definedName name="solver_pre" localSheetId="4" hidden="1">0.000000001</definedName>
    <definedName name="solver_pre" localSheetId="6" hidden="1">0.000000001</definedName>
    <definedName name="solver_pre" localSheetId="5" hidden="1">0.000000001</definedName>
    <definedName name="solver_rbv" localSheetId="3" hidden="1">1</definedName>
    <definedName name="solver_rbv" localSheetId="4" hidden="1">1</definedName>
    <definedName name="solver_rbv" localSheetId="6" hidden="1">1</definedName>
    <definedName name="solver_rbv" localSheetId="5" hidden="1">1</definedName>
    <definedName name="solver_rlx" localSheetId="3" hidden="1">2</definedName>
    <definedName name="solver_rlx" localSheetId="4" hidden="1">2</definedName>
    <definedName name="solver_rlx" localSheetId="6" hidden="1">2</definedName>
    <definedName name="solver_rlx" localSheetId="5" hidden="1">2</definedName>
    <definedName name="solver_rsd" localSheetId="3" hidden="1">0</definedName>
    <definedName name="solver_rsd" localSheetId="4" hidden="1">0</definedName>
    <definedName name="solver_rsd" localSheetId="6" hidden="1">0</definedName>
    <definedName name="solver_rsd" localSheetId="5" hidden="1">0</definedName>
    <definedName name="solver_scl" localSheetId="3" hidden="1">1</definedName>
    <definedName name="solver_scl" localSheetId="4" hidden="1">1</definedName>
    <definedName name="solver_scl" localSheetId="6" hidden="1">1</definedName>
    <definedName name="solver_scl" localSheetId="5" hidden="1">1</definedName>
    <definedName name="solver_sho" localSheetId="3" hidden="1">2</definedName>
    <definedName name="solver_sho" localSheetId="4" hidden="1">2</definedName>
    <definedName name="solver_sho" localSheetId="6" hidden="1">2</definedName>
    <definedName name="solver_sho" localSheetId="5" hidden="1">2</definedName>
    <definedName name="solver_ssz" localSheetId="3" hidden="1">100</definedName>
    <definedName name="solver_ssz" localSheetId="4" hidden="1">100</definedName>
    <definedName name="solver_ssz" localSheetId="6" hidden="1">100</definedName>
    <definedName name="solver_ssz" localSheetId="5" hidden="1">100</definedName>
    <definedName name="solver_tim" localSheetId="3" hidden="1">2147483647</definedName>
    <definedName name="solver_tim" localSheetId="4" hidden="1">2147483647</definedName>
    <definedName name="solver_tim" localSheetId="6" hidden="1">2147483647</definedName>
    <definedName name="solver_tim" localSheetId="5" hidden="1">2147483647</definedName>
    <definedName name="solver_tol" localSheetId="3" hidden="1">0.01</definedName>
    <definedName name="solver_tol" localSheetId="4" hidden="1">0.01</definedName>
    <definedName name="solver_tol" localSheetId="6" hidden="1">0.01</definedName>
    <definedName name="solver_tol" localSheetId="5" hidden="1">0.01</definedName>
    <definedName name="solver_typ" localSheetId="3" hidden="1">2</definedName>
    <definedName name="solver_typ" localSheetId="4" hidden="1">2</definedName>
    <definedName name="solver_typ" localSheetId="6" hidden="1">2</definedName>
    <definedName name="solver_typ" localSheetId="5" hidden="1">2</definedName>
    <definedName name="solver_val" localSheetId="3" hidden="1">0</definedName>
    <definedName name="solver_val" localSheetId="4" hidden="1">0</definedName>
    <definedName name="solver_val" localSheetId="6" hidden="1">0</definedName>
    <definedName name="solver_val" localSheetId="5" hidden="1">0</definedName>
    <definedName name="solver_ver" localSheetId="3" hidden="1">3</definedName>
    <definedName name="solver_ver" localSheetId="4" hidden="1">3</definedName>
    <definedName name="solver_ver" localSheetId="6" hidden="1">3</definedName>
    <definedName name="solver_ver" localSheetId="5" hidden="1">3</definedName>
    <definedName name="Symplectic" localSheetId="3">'1Mode case'!$C$12:$D$13</definedName>
    <definedName name="Symplectic" localSheetId="4">'2Mode Case'!$O$11:$R$14</definedName>
    <definedName name="Symplectic" localSheetId="6">'2Mode Case (Beamsplitter TBC)'!$O$13:$R$16</definedName>
    <definedName name="Symplectic" localSheetId="5">'2Mode Case (Cooling )'!$O$13:$R$16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3" l="1"/>
  <c r="L10" i="13"/>
  <c r="L13" i="13" s="1"/>
  <c r="U29" i="13"/>
  <c r="F18" i="13"/>
  <c r="H26" i="13" l="1"/>
  <c r="E12" i="13"/>
  <c r="V22" i="13"/>
  <c r="V23" i="13"/>
  <c r="V21" i="13"/>
  <c r="V20" i="13"/>
  <c r="I3" i="13"/>
  <c r="U27" i="13" l="1"/>
  <c r="H12" i="13"/>
  <c r="I27" i="13"/>
  <c r="J28" i="13" s="1"/>
  <c r="K29" i="13" s="1"/>
  <c r="O3" i="13"/>
  <c r="Q3" i="13" s="1"/>
  <c r="R3" i="13"/>
  <c r="P3" i="13"/>
  <c r="L3" i="13"/>
  <c r="K3" i="13"/>
  <c r="P1" i="13"/>
  <c r="K1" i="13"/>
  <c r="L1" i="13"/>
  <c r="O1" i="13"/>
  <c r="R1" i="13"/>
  <c r="V26" i="13" l="1"/>
  <c r="V27" i="13" s="1"/>
  <c r="U26" i="13"/>
  <c r="U28" i="13" s="1"/>
  <c r="U30" i="13" s="1"/>
  <c r="K26" i="13"/>
  <c r="W4" i="13"/>
  <c r="H8" i="13"/>
  <c r="I7" i="13"/>
  <c r="F8" i="14" l="1"/>
  <c r="E8" i="14"/>
  <c r="D8" i="14"/>
  <c r="C8" i="14"/>
  <c r="F7" i="14"/>
  <c r="E7" i="14"/>
  <c r="D7" i="14"/>
  <c r="C7" i="14"/>
  <c r="F6" i="14"/>
  <c r="E6" i="14"/>
  <c r="D6" i="14"/>
  <c r="C6" i="14"/>
  <c r="F5" i="14"/>
  <c r="E5" i="14"/>
  <c r="D5" i="14"/>
  <c r="C5" i="14"/>
  <c r="C13" i="14"/>
  <c r="D14" i="14" s="1"/>
  <c r="E15" i="14"/>
  <c r="F16" i="14" s="1"/>
  <c r="C21" i="14"/>
  <c r="E23" i="14"/>
  <c r="T38" i="14" a="1"/>
  <c r="W32" i="14" l="1" a="1"/>
  <c r="F24" i="14"/>
  <c r="D22" i="14"/>
  <c r="T52" i="14"/>
  <c r="T69" i="14" s="1"/>
  <c r="T50" i="14"/>
  <c r="T67" i="14" s="1"/>
  <c r="T48" i="14"/>
  <c r="T65" i="14" s="1"/>
  <c r="T46" i="14"/>
  <c r="T63" i="14" s="1"/>
  <c r="T44" i="14"/>
  <c r="T61" i="14" s="1"/>
  <c r="T42" i="14"/>
  <c r="T59" i="14" s="1"/>
  <c r="T40" i="14"/>
  <c r="T57" i="14" s="1"/>
  <c r="T38" i="14"/>
  <c r="T55" i="14" s="1"/>
  <c r="T51" i="14"/>
  <c r="T68" i="14" s="1"/>
  <c r="T47" i="14"/>
  <c r="T64" i="14" s="1"/>
  <c r="T43" i="14"/>
  <c r="T60" i="14" s="1"/>
  <c r="T39" i="14"/>
  <c r="T56" i="14" s="1"/>
  <c r="T53" i="14"/>
  <c r="T70" i="14" s="1"/>
  <c r="T49" i="14"/>
  <c r="T66" i="14" s="1"/>
  <c r="T45" i="14"/>
  <c r="T62" i="14" s="1"/>
  <c r="T41" i="14"/>
  <c r="T58" i="14" s="1"/>
  <c r="H21" i="14" l="1" a="1"/>
  <c r="J24" i="14" s="1"/>
  <c r="Q24" i="14" s="1"/>
  <c r="Z32" i="14"/>
  <c r="X33" i="14"/>
  <c r="X34" i="14"/>
  <c r="X35" i="14"/>
  <c r="W32" i="14"/>
  <c r="Y32" i="14"/>
  <c r="W33" i="14"/>
  <c r="Y33" i="14"/>
  <c r="W34" i="14"/>
  <c r="Y34" i="14"/>
  <c r="W35" i="14"/>
  <c r="Y35" i="14"/>
  <c r="Z35" i="14"/>
  <c r="X32" i="14"/>
  <c r="Z33" i="14"/>
  <c r="Z34" i="14"/>
  <c r="E23" i="13"/>
  <c r="C21" i="13"/>
  <c r="D22" i="13" s="1"/>
  <c r="E15" i="13"/>
  <c r="F16" i="13" s="1"/>
  <c r="C13" i="13"/>
  <c r="D14" i="13" s="1"/>
  <c r="K8" i="13"/>
  <c r="J8" i="13"/>
  <c r="J7" i="13"/>
  <c r="I6" i="13"/>
  <c r="H6" i="13"/>
  <c r="H5" i="13"/>
  <c r="I8" i="13"/>
  <c r="H7" i="13"/>
  <c r="W38" i="14" a="1"/>
  <c r="T38" i="13" a="1"/>
  <c r="O5" i="13" l="1" a="1"/>
  <c r="O5" i="13" s="1"/>
  <c r="K24" i="14"/>
  <c r="R24" i="14" s="1"/>
  <c r="K23" i="14"/>
  <c r="R23" i="14" s="1"/>
  <c r="J22" i="14"/>
  <c r="Q22" i="14" s="1"/>
  <c r="K21" i="14"/>
  <c r="R21" i="14" s="1"/>
  <c r="I24" i="14"/>
  <c r="P24" i="14" s="1"/>
  <c r="H23" i="14"/>
  <c r="O23" i="14" s="1"/>
  <c r="I22" i="14"/>
  <c r="P22" i="14" s="1"/>
  <c r="H21" i="14"/>
  <c r="O21" i="14" s="1"/>
  <c r="H24" i="14"/>
  <c r="O24" i="14" s="1"/>
  <c r="I23" i="14"/>
  <c r="P23" i="14" s="1"/>
  <c r="H22" i="14"/>
  <c r="O22" i="14" s="1"/>
  <c r="I21" i="14"/>
  <c r="P21" i="14" s="1"/>
  <c r="J23" i="14"/>
  <c r="Q23" i="14" s="1"/>
  <c r="K22" i="14"/>
  <c r="R22" i="14" s="1"/>
  <c r="J21" i="14"/>
  <c r="Q21" i="14" s="1"/>
  <c r="C32" i="14" a="1"/>
  <c r="W53" i="14"/>
  <c r="W51" i="14"/>
  <c r="W49" i="14"/>
  <c r="W47" i="14"/>
  <c r="W45" i="14"/>
  <c r="W43" i="14"/>
  <c r="W41" i="14"/>
  <c r="W39" i="14"/>
  <c r="W50" i="14"/>
  <c r="W46" i="14"/>
  <c r="W42" i="14"/>
  <c r="W38" i="14"/>
  <c r="W52" i="14"/>
  <c r="W48" i="14"/>
  <c r="W44" i="14"/>
  <c r="W40" i="14"/>
  <c r="T53" i="13"/>
  <c r="T70" i="13" s="1"/>
  <c r="T51" i="13"/>
  <c r="T68" i="13" s="1"/>
  <c r="T49" i="13"/>
  <c r="T66" i="13" s="1"/>
  <c r="T47" i="13"/>
  <c r="T64" i="13" s="1"/>
  <c r="T45" i="13"/>
  <c r="T62" i="13" s="1"/>
  <c r="T43" i="13"/>
  <c r="T60" i="13" s="1"/>
  <c r="T41" i="13"/>
  <c r="T58" i="13" s="1"/>
  <c r="T39" i="13"/>
  <c r="T56" i="13" s="1"/>
  <c r="T50" i="13"/>
  <c r="T67" i="13" s="1"/>
  <c r="T46" i="13"/>
  <c r="T63" i="13" s="1"/>
  <c r="T42" i="13"/>
  <c r="T59" i="13" s="1"/>
  <c r="T38" i="13"/>
  <c r="T55" i="13" s="1"/>
  <c r="T52" i="13"/>
  <c r="T69" i="13" s="1"/>
  <c r="T48" i="13"/>
  <c r="T65" i="13" s="1"/>
  <c r="T44" i="13"/>
  <c r="T61" i="13" s="1"/>
  <c r="T40" i="13"/>
  <c r="T57" i="13" s="1"/>
  <c r="W32" i="13" a="1"/>
  <c r="C38" i="14" a="1"/>
  <c r="O6" i="13" l="1"/>
  <c r="O8" i="13"/>
  <c r="R5" i="13"/>
  <c r="R7" i="13"/>
  <c r="Q6" i="13"/>
  <c r="Q8" i="13"/>
  <c r="P6" i="13"/>
  <c r="P8" i="13"/>
  <c r="O7" i="13"/>
  <c r="R8" i="13"/>
  <c r="R6" i="13"/>
  <c r="Q5" i="13"/>
  <c r="Q7" i="13"/>
  <c r="P5" i="13"/>
  <c r="P7" i="13"/>
  <c r="R32" i="14" a="1"/>
  <c r="U32" i="14" s="1"/>
  <c r="F33" i="14"/>
  <c r="D34" i="14"/>
  <c r="D35" i="14"/>
  <c r="C32" i="14"/>
  <c r="E32" i="14"/>
  <c r="C33" i="14"/>
  <c r="E33" i="14"/>
  <c r="C34" i="14"/>
  <c r="E34" i="14"/>
  <c r="C35" i="14"/>
  <c r="E35" i="14"/>
  <c r="F35" i="14"/>
  <c r="D32" i="14"/>
  <c r="F32" i="14"/>
  <c r="D33" i="14"/>
  <c r="F34" i="14"/>
  <c r="R53" i="14"/>
  <c r="P53" i="14"/>
  <c r="N53" i="14"/>
  <c r="L53" i="14"/>
  <c r="J53" i="14"/>
  <c r="H53" i="14"/>
  <c r="F53" i="14"/>
  <c r="D53" i="14"/>
  <c r="R52" i="14"/>
  <c r="P52" i="14"/>
  <c r="N52" i="14"/>
  <c r="L52" i="14"/>
  <c r="J52" i="14"/>
  <c r="H52" i="14"/>
  <c r="F52" i="14"/>
  <c r="D52" i="14"/>
  <c r="R51" i="14"/>
  <c r="P51" i="14"/>
  <c r="N51" i="14"/>
  <c r="L51" i="14"/>
  <c r="J51" i="14"/>
  <c r="H51" i="14"/>
  <c r="F51" i="14"/>
  <c r="D51" i="14"/>
  <c r="R50" i="14"/>
  <c r="P50" i="14"/>
  <c r="N50" i="14"/>
  <c r="L50" i="14"/>
  <c r="J50" i="14"/>
  <c r="H50" i="14"/>
  <c r="F50" i="14"/>
  <c r="D50" i="14"/>
  <c r="R49" i="14"/>
  <c r="P49" i="14"/>
  <c r="N49" i="14"/>
  <c r="L49" i="14"/>
  <c r="J49" i="14"/>
  <c r="H49" i="14"/>
  <c r="F49" i="14"/>
  <c r="D49" i="14"/>
  <c r="R48" i="14"/>
  <c r="P48" i="14"/>
  <c r="N48" i="14"/>
  <c r="L48" i="14"/>
  <c r="J48" i="14"/>
  <c r="H48" i="14"/>
  <c r="F48" i="14"/>
  <c r="D48" i="14"/>
  <c r="R47" i="14"/>
  <c r="P47" i="14"/>
  <c r="N47" i="14"/>
  <c r="L47" i="14"/>
  <c r="J47" i="14"/>
  <c r="H47" i="14"/>
  <c r="F47" i="14"/>
  <c r="D47" i="14"/>
  <c r="R46" i="14"/>
  <c r="P46" i="14"/>
  <c r="N46" i="14"/>
  <c r="L46" i="14"/>
  <c r="J46" i="14"/>
  <c r="H46" i="14"/>
  <c r="F46" i="14"/>
  <c r="D46" i="14"/>
  <c r="R45" i="14"/>
  <c r="P45" i="14"/>
  <c r="N45" i="14"/>
  <c r="L45" i="14"/>
  <c r="J45" i="14"/>
  <c r="H45" i="14"/>
  <c r="F45" i="14"/>
  <c r="D45" i="14"/>
  <c r="R44" i="14"/>
  <c r="P44" i="14"/>
  <c r="N44" i="14"/>
  <c r="L44" i="14"/>
  <c r="J44" i="14"/>
  <c r="H44" i="14"/>
  <c r="F44" i="14"/>
  <c r="D44" i="14"/>
  <c r="R43" i="14"/>
  <c r="P43" i="14"/>
  <c r="N43" i="14"/>
  <c r="L43" i="14"/>
  <c r="J43" i="14"/>
  <c r="H43" i="14"/>
  <c r="F43" i="14"/>
  <c r="D43" i="14"/>
  <c r="R42" i="14"/>
  <c r="P42" i="14"/>
  <c r="N42" i="14"/>
  <c r="L42" i="14"/>
  <c r="J42" i="14"/>
  <c r="H42" i="14"/>
  <c r="F42" i="14"/>
  <c r="D42" i="14"/>
  <c r="R41" i="14"/>
  <c r="P41" i="14"/>
  <c r="N41" i="14"/>
  <c r="L41" i="14"/>
  <c r="J41" i="14"/>
  <c r="H41" i="14"/>
  <c r="F41" i="14"/>
  <c r="Q53" i="14"/>
  <c r="M53" i="14"/>
  <c r="I53" i="14"/>
  <c r="E53" i="14"/>
  <c r="Q52" i="14"/>
  <c r="M52" i="14"/>
  <c r="I52" i="14"/>
  <c r="E52" i="14"/>
  <c r="Q51" i="14"/>
  <c r="M51" i="14"/>
  <c r="I51" i="14"/>
  <c r="E51" i="14"/>
  <c r="Q50" i="14"/>
  <c r="M50" i="14"/>
  <c r="I50" i="14"/>
  <c r="E50" i="14"/>
  <c r="Q49" i="14"/>
  <c r="M49" i="14"/>
  <c r="I49" i="14"/>
  <c r="E49" i="14"/>
  <c r="Q48" i="14"/>
  <c r="M48" i="14"/>
  <c r="I48" i="14"/>
  <c r="E48" i="14"/>
  <c r="Q47" i="14"/>
  <c r="M47" i="14"/>
  <c r="I47" i="14"/>
  <c r="E47" i="14"/>
  <c r="Q46" i="14"/>
  <c r="M46" i="14"/>
  <c r="I46" i="14"/>
  <c r="E46" i="14"/>
  <c r="Q45" i="14"/>
  <c r="M45" i="14"/>
  <c r="I45" i="14"/>
  <c r="E45" i="14"/>
  <c r="Q44" i="14"/>
  <c r="M44" i="14"/>
  <c r="I44" i="14"/>
  <c r="E44" i="14"/>
  <c r="Q43" i="14"/>
  <c r="M43" i="14"/>
  <c r="I43" i="14"/>
  <c r="E43" i="14"/>
  <c r="Q42" i="14"/>
  <c r="M42" i="14"/>
  <c r="I42" i="14"/>
  <c r="E42" i="14"/>
  <c r="Q41" i="14"/>
  <c r="M41" i="14"/>
  <c r="I41" i="14"/>
  <c r="E41" i="14"/>
  <c r="C41" i="14"/>
  <c r="Q40" i="14"/>
  <c r="O40" i="14"/>
  <c r="M40" i="14"/>
  <c r="K40" i="14"/>
  <c r="I40" i="14"/>
  <c r="G40" i="14"/>
  <c r="E40" i="14"/>
  <c r="C40" i="14"/>
  <c r="Q39" i="14"/>
  <c r="O39" i="14"/>
  <c r="M39" i="14"/>
  <c r="K39" i="14"/>
  <c r="I39" i="14"/>
  <c r="G39" i="14"/>
  <c r="E39" i="14"/>
  <c r="C39" i="14"/>
  <c r="Q38" i="14"/>
  <c r="O38" i="14"/>
  <c r="M38" i="14"/>
  <c r="K38" i="14"/>
  <c r="I38" i="14"/>
  <c r="G38" i="14"/>
  <c r="E38" i="14"/>
  <c r="C38" i="14"/>
  <c r="O53" i="14"/>
  <c r="K53" i="14"/>
  <c r="G53" i="14"/>
  <c r="C53" i="14"/>
  <c r="O52" i="14"/>
  <c r="K52" i="14"/>
  <c r="G52" i="14"/>
  <c r="C52" i="14"/>
  <c r="O51" i="14"/>
  <c r="K51" i="14"/>
  <c r="G51" i="14"/>
  <c r="C51" i="14"/>
  <c r="O50" i="14"/>
  <c r="K50" i="14"/>
  <c r="G50" i="14"/>
  <c r="C50" i="14"/>
  <c r="O49" i="14"/>
  <c r="K49" i="14"/>
  <c r="G49" i="14"/>
  <c r="C49" i="14"/>
  <c r="O48" i="14"/>
  <c r="K48" i="14"/>
  <c r="G48" i="14"/>
  <c r="C48" i="14"/>
  <c r="O47" i="14"/>
  <c r="K47" i="14"/>
  <c r="G47" i="14"/>
  <c r="C47" i="14"/>
  <c r="O46" i="14"/>
  <c r="K46" i="14"/>
  <c r="G46" i="14"/>
  <c r="C46" i="14"/>
  <c r="O45" i="14"/>
  <c r="K45" i="14"/>
  <c r="G45" i="14"/>
  <c r="C45" i="14"/>
  <c r="O44" i="14"/>
  <c r="K44" i="14"/>
  <c r="G44" i="14"/>
  <c r="C44" i="14"/>
  <c r="O43" i="14"/>
  <c r="K43" i="14"/>
  <c r="G43" i="14"/>
  <c r="C43" i="14"/>
  <c r="O42" i="14"/>
  <c r="K42" i="14"/>
  <c r="G42" i="14"/>
  <c r="C42" i="14"/>
  <c r="O41" i="14"/>
  <c r="K41" i="14"/>
  <c r="G41" i="14"/>
  <c r="D41" i="14"/>
  <c r="R40" i="14"/>
  <c r="P40" i="14"/>
  <c r="N40" i="14"/>
  <c r="L40" i="14"/>
  <c r="J40" i="14"/>
  <c r="H40" i="14"/>
  <c r="F40" i="14"/>
  <c r="D40" i="14"/>
  <c r="R39" i="14"/>
  <c r="P39" i="14"/>
  <c r="N39" i="14"/>
  <c r="L39" i="14"/>
  <c r="J39" i="14"/>
  <c r="H39" i="14"/>
  <c r="F39" i="14"/>
  <c r="D39" i="14"/>
  <c r="R38" i="14"/>
  <c r="P38" i="14"/>
  <c r="N38" i="14"/>
  <c r="L38" i="14"/>
  <c r="J38" i="14"/>
  <c r="H38" i="14"/>
  <c r="F38" i="14"/>
  <c r="D38" i="14"/>
  <c r="D85" i="14" a="1"/>
  <c r="Y35" i="13"/>
  <c r="W35" i="13"/>
  <c r="Y34" i="13"/>
  <c r="W34" i="13"/>
  <c r="Y33" i="13"/>
  <c r="W33" i="13"/>
  <c r="Y32" i="13"/>
  <c r="W32" i="13"/>
  <c r="Z35" i="13"/>
  <c r="X35" i="13"/>
  <c r="Z34" i="13"/>
  <c r="X34" i="13"/>
  <c r="Z33" i="13"/>
  <c r="X33" i="13"/>
  <c r="Z32" i="13"/>
  <c r="X32" i="13"/>
  <c r="Z50" i="6" a="1"/>
  <c r="W50" i="6" a="1"/>
  <c r="C19" i="6"/>
  <c r="P28" i="6" a="1"/>
  <c r="P28" i="6"/>
  <c r="Q28" i="6"/>
  <c r="P29" i="6"/>
  <c r="T50" i="6" a="1"/>
  <c r="C15" i="6"/>
  <c r="D16" i="6" s="1"/>
  <c r="D20" i="6"/>
  <c r="Q29" i="6" s="1"/>
  <c r="D98" i="5" a="1"/>
  <c r="D93" i="5" a="1"/>
  <c r="N81" i="5" a="1"/>
  <c r="I81" i="5" a="1"/>
  <c r="D81" i="5" a="1"/>
  <c r="W38" i="13" a="1"/>
  <c r="S33" i="14" l="1"/>
  <c r="R33" i="14"/>
  <c r="S35" i="14"/>
  <c r="R32" i="14"/>
  <c r="U34" i="14"/>
  <c r="S32" i="14"/>
  <c r="R34" i="14"/>
  <c r="T32" i="14"/>
  <c r="T35" i="14"/>
  <c r="S34" i="14"/>
  <c r="U33" i="14"/>
  <c r="T34" i="14"/>
  <c r="T33" i="14"/>
  <c r="U35" i="14"/>
  <c r="R35" i="14"/>
  <c r="F88" i="14"/>
  <c r="D88" i="14"/>
  <c r="F87" i="14"/>
  <c r="D87" i="14"/>
  <c r="F86" i="14"/>
  <c r="D86" i="14"/>
  <c r="F85" i="14"/>
  <c r="D85" i="14"/>
  <c r="E88" i="14"/>
  <c r="E87" i="14"/>
  <c r="E86" i="14"/>
  <c r="E85" i="14"/>
  <c r="G87" i="14"/>
  <c r="G85" i="14"/>
  <c r="G88" i="14"/>
  <c r="G86" i="14"/>
  <c r="W55" i="14" a="1"/>
  <c r="H21" i="13" a="1"/>
  <c r="J24" i="13" s="1"/>
  <c r="Q24" i="13" s="1"/>
  <c r="W52" i="13"/>
  <c r="W50" i="13"/>
  <c r="W48" i="13"/>
  <c r="W46" i="13"/>
  <c r="W44" i="13"/>
  <c r="W42" i="13"/>
  <c r="W40" i="13"/>
  <c r="W38" i="13"/>
  <c r="W53" i="13"/>
  <c r="W49" i="13"/>
  <c r="W45" i="13"/>
  <c r="W41" i="13"/>
  <c r="W51" i="13"/>
  <c r="W47" i="13"/>
  <c r="W43" i="13"/>
  <c r="W39" i="13"/>
  <c r="F24" i="13"/>
  <c r="S85" i="14" l="1" a="1"/>
  <c r="W70" i="14"/>
  <c r="Z75" i="14" s="1"/>
  <c r="W68" i="14"/>
  <c r="Z73" i="14" s="1"/>
  <c r="W66" i="14"/>
  <c r="Y75" i="14" s="1"/>
  <c r="W64" i="14"/>
  <c r="Y73" i="14" s="1"/>
  <c r="W62" i="14"/>
  <c r="X75" i="14" s="1"/>
  <c r="W60" i="14"/>
  <c r="X73" i="14" s="1"/>
  <c r="W58" i="14"/>
  <c r="W75" i="14" s="1"/>
  <c r="W56" i="14"/>
  <c r="W73" i="14" s="1"/>
  <c r="W69" i="14"/>
  <c r="Z74" i="14" s="1"/>
  <c r="W65" i="14"/>
  <c r="Y74" i="14" s="1"/>
  <c r="W61" i="14"/>
  <c r="X74" i="14" s="1"/>
  <c r="W57" i="14"/>
  <c r="W74" i="14" s="1"/>
  <c r="W67" i="14"/>
  <c r="Z72" i="14" s="1"/>
  <c r="W63" i="14"/>
  <c r="Y72" i="14" s="1"/>
  <c r="W59" i="14"/>
  <c r="X72" i="14" s="1"/>
  <c r="W55" i="14"/>
  <c r="W72" i="14" s="1"/>
  <c r="I21" i="13"/>
  <c r="P21" i="13" s="1"/>
  <c r="I23" i="13"/>
  <c r="P23" i="13" s="1"/>
  <c r="H21" i="13"/>
  <c r="O21" i="13" s="1"/>
  <c r="K22" i="13"/>
  <c r="R22" i="13" s="1"/>
  <c r="K24" i="13"/>
  <c r="R24" i="13" s="1"/>
  <c r="H22" i="13"/>
  <c r="O22" i="13" s="1"/>
  <c r="H23" i="13"/>
  <c r="O23" i="13" s="1"/>
  <c r="H24" i="13"/>
  <c r="O24" i="13" s="1"/>
  <c r="I22" i="13"/>
  <c r="P22" i="13" s="1"/>
  <c r="I24" i="13"/>
  <c r="P24" i="13" s="1"/>
  <c r="K21" i="13"/>
  <c r="R21" i="13" s="1"/>
  <c r="K23" i="13"/>
  <c r="R23" i="13" s="1"/>
  <c r="J21" i="13"/>
  <c r="Q21" i="13" s="1"/>
  <c r="J22" i="13"/>
  <c r="Q22" i="13" s="1"/>
  <c r="J23" i="13"/>
  <c r="Q23" i="13" s="1"/>
  <c r="C38" i="13" a="1"/>
  <c r="I3" i="14" l="1"/>
  <c r="D85" i="13" a="1"/>
  <c r="I85" i="14" a="1"/>
  <c r="W78" i="14" a="1"/>
  <c r="W78" i="14" s="1"/>
  <c r="A1" i="14" s="1"/>
  <c r="V88" i="14"/>
  <c r="T88" i="14"/>
  <c r="V87" i="14"/>
  <c r="T87" i="14"/>
  <c r="V86" i="14"/>
  <c r="T86" i="14"/>
  <c r="V85" i="14"/>
  <c r="T85" i="14"/>
  <c r="U88" i="14"/>
  <c r="U87" i="14"/>
  <c r="U86" i="14"/>
  <c r="U85" i="14"/>
  <c r="S87" i="14"/>
  <c r="S85" i="14"/>
  <c r="S88" i="14"/>
  <c r="S86" i="14"/>
  <c r="C32" i="13" a="1"/>
  <c r="C35" i="13" s="1"/>
  <c r="R32" i="13" a="1"/>
  <c r="U35" i="13" s="1"/>
  <c r="O53" i="13"/>
  <c r="K53" i="13"/>
  <c r="G53" i="13"/>
  <c r="C53" i="13"/>
  <c r="O52" i="13"/>
  <c r="K52" i="13"/>
  <c r="G52" i="13"/>
  <c r="C52" i="13"/>
  <c r="P53" i="13"/>
  <c r="H53" i="13"/>
  <c r="P52" i="13"/>
  <c r="H52" i="13"/>
  <c r="P51" i="13"/>
  <c r="L51" i="13"/>
  <c r="H51" i="13"/>
  <c r="D51" i="13"/>
  <c r="P50" i="13"/>
  <c r="L50" i="13"/>
  <c r="H50" i="13"/>
  <c r="D50" i="13"/>
  <c r="P49" i="13"/>
  <c r="L49" i="13"/>
  <c r="H49" i="13"/>
  <c r="D49" i="13"/>
  <c r="P48" i="13"/>
  <c r="L48" i="13"/>
  <c r="H48" i="13"/>
  <c r="D48" i="13"/>
  <c r="P47" i="13"/>
  <c r="L47" i="13"/>
  <c r="H47" i="13"/>
  <c r="D47" i="13"/>
  <c r="P46" i="13"/>
  <c r="L46" i="13"/>
  <c r="H46" i="13"/>
  <c r="D46" i="13"/>
  <c r="P45" i="13"/>
  <c r="L45" i="13"/>
  <c r="H45" i="13"/>
  <c r="D45" i="13"/>
  <c r="P44" i="13"/>
  <c r="L44" i="13"/>
  <c r="H44" i="13"/>
  <c r="D44" i="13"/>
  <c r="P43" i="13"/>
  <c r="L43" i="13"/>
  <c r="H43" i="13"/>
  <c r="D43" i="13"/>
  <c r="P42" i="13"/>
  <c r="L42" i="13"/>
  <c r="H42" i="13"/>
  <c r="D42" i="13"/>
  <c r="P41" i="13"/>
  <c r="L41" i="13"/>
  <c r="H41" i="13"/>
  <c r="D41" i="13"/>
  <c r="P40" i="13"/>
  <c r="L40" i="13"/>
  <c r="H40" i="13"/>
  <c r="D40" i="13"/>
  <c r="P39" i="13"/>
  <c r="L39" i="13"/>
  <c r="H39" i="13"/>
  <c r="D39" i="13"/>
  <c r="P38" i="13"/>
  <c r="L38" i="13"/>
  <c r="H38" i="13"/>
  <c r="D38" i="13"/>
  <c r="N53" i="13"/>
  <c r="F53" i="13"/>
  <c r="N52" i="13"/>
  <c r="F52" i="13"/>
  <c r="O51" i="13"/>
  <c r="K51" i="13"/>
  <c r="G51" i="13"/>
  <c r="C51" i="13"/>
  <c r="O50" i="13"/>
  <c r="K50" i="13"/>
  <c r="G50" i="13"/>
  <c r="C50" i="13"/>
  <c r="O49" i="13"/>
  <c r="K49" i="13"/>
  <c r="G49" i="13"/>
  <c r="C49" i="13"/>
  <c r="M53" i="13"/>
  <c r="E53" i="13"/>
  <c r="M52" i="13"/>
  <c r="E52" i="13"/>
  <c r="L53" i="13"/>
  <c r="L52" i="13"/>
  <c r="N51" i="13"/>
  <c r="F51" i="13"/>
  <c r="N50" i="13"/>
  <c r="F50" i="13"/>
  <c r="N49" i="13"/>
  <c r="F49" i="13"/>
  <c r="N48" i="13"/>
  <c r="F48" i="13"/>
  <c r="N47" i="13"/>
  <c r="F47" i="13"/>
  <c r="N46" i="13"/>
  <c r="F46" i="13"/>
  <c r="N45" i="13"/>
  <c r="F45" i="13"/>
  <c r="N44" i="13"/>
  <c r="F44" i="13"/>
  <c r="N43" i="13"/>
  <c r="F43" i="13"/>
  <c r="N42" i="13"/>
  <c r="F42" i="13"/>
  <c r="N41" i="13"/>
  <c r="F41" i="13"/>
  <c r="N40" i="13"/>
  <c r="F40" i="13"/>
  <c r="N39" i="13"/>
  <c r="F39" i="13"/>
  <c r="N38" i="13"/>
  <c r="F38" i="13"/>
  <c r="J53" i="13"/>
  <c r="J52" i="13"/>
  <c r="M51" i="13"/>
  <c r="E51" i="13"/>
  <c r="M50" i="13"/>
  <c r="E50" i="13"/>
  <c r="M49" i="13"/>
  <c r="E49" i="13"/>
  <c r="O48" i="13"/>
  <c r="K48" i="13"/>
  <c r="G48" i="13"/>
  <c r="C48" i="13"/>
  <c r="O47" i="13"/>
  <c r="K47" i="13"/>
  <c r="G47" i="13"/>
  <c r="C47" i="13"/>
  <c r="O46" i="13"/>
  <c r="K46" i="13"/>
  <c r="G46" i="13"/>
  <c r="C46" i="13"/>
  <c r="O45" i="13"/>
  <c r="K45" i="13"/>
  <c r="G45" i="13"/>
  <c r="C45" i="13"/>
  <c r="O44" i="13"/>
  <c r="K44" i="13"/>
  <c r="G44" i="13"/>
  <c r="C44" i="13"/>
  <c r="O43" i="13"/>
  <c r="K43" i="13"/>
  <c r="G43" i="13"/>
  <c r="C43" i="13"/>
  <c r="O42" i="13"/>
  <c r="K42" i="13"/>
  <c r="G42" i="13"/>
  <c r="C42" i="13"/>
  <c r="O41" i="13"/>
  <c r="K41" i="13"/>
  <c r="G41" i="13"/>
  <c r="C41" i="13"/>
  <c r="O40" i="13"/>
  <c r="K40" i="13"/>
  <c r="G40" i="13"/>
  <c r="C40" i="13"/>
  <c r="O39" i="13"/>
  <c r="K39" i="13"/>
  <c r="G39" i="13"/>
  <c r="C39" i="13"/>
  <c r="O38" i="13"/>
  <c r="K38" i="13"/>
  <c r="G38" i="13"/>
  <c r="C38" i="13"/>
  <c r="Q53" i="13"/>
  <c r="I53" i="13"/>
  <c r="Q52" i="13"/>
  <c r="I52" i="13"/>
  <c r="Q51" i="13"/>
  <c r="D53" i="13"/>
  <c r="D52" i="13"/>
  <c r="J51" i="13"/>
  <c r="R50" i="13"/>
  <c r="J50" i="13"/>
  <c r="R49" i="13"/>
  <c r="J49" i="13"/>
  <c r="R48" i="13"/>
  <c r="J48" i="13"/>
  <c r="R47" i="13"/>
  <c r="J47" i="13"/>
  <c r="R46" i="13"/>
  <c r="J46" i="13"/>
  <c r="R45" i="13"/>
  <c r="J45" i="13"/>
  <c r="R44" i="13"/>
  <c r="J44" i="13"/>
  <c r="R43" i="13"/>
  <c r="J43" i="13"/>
  <c r="R42" i="13"/>
  <c r="J42" i="13"/>
  <c r="R41" i="13"/>
  <c r="J41" i="13"/>
  <c r="R40" i="13"/>
  <c r="J40" i="13"/>
  <c r="R39" i="13"/>
  <c r="J39" i="13"/>
  <c r="R38" i="13"/>
  <c r="J38" i="13"/>
  <c r="R53" i="13"/>
  <c r="R52" i="13"/>
  <c r="R51" i="13"/>
  <c r="I51" i="13"/>
  <c r="Q50" i="13"/>
  <c r="I50" i="13"/>
  <c r="Q49" i="13"/>
  <c r="I49" i="13"/>
  <c r="Q48" i="13"/>
  <c r="M48" i="13"/>
  <c r="I48" i="13"/>
  <c r="E48" i="13"/>
  <c r="Q47" i="13"/>
  <c r="M47" i="13"/>
  <c r="I47" i="13"/>
  <c r="E47" i="13"/>
  <c r="Q46" i="13"/>
  <c r="M46" i="13"/>
  <c r="I46" i="13"/>
  <c r="E46" i="13"/>
  <c r="Q45" i="13"/>
  <c r="M45" i="13"/>
  <c r="I45" i="13"/>
  <c r="E45" i="13"/>
  <c r="Q44" i="13"/>
  <c r="M44" i="13"/>
  <c r="I44" i="13"/>
  <c r="E44" i="13"/>
  <c r="Q43" i="13"/>
  <c r="M43" i="13"/>
  <c r="I43" i="13"/>
  <c r="E43" i="13"/>
  <c r="Q42" i="13"/>
  <c r="M42" i="13"/>
  <c r="I42" i="13"/>
  <c r="E42" i="13"/>
  <c r="Q41" i="13"/>
  <c r="M41" i="13"/>
  <c r="I41" i="13"/>
  <c r="E41" i="13"/>
  <c r="Q40" i="13"/>
  <c r="M40" i="13"/>
  <c r="I40" i="13"/>
  <c r="E40" i="13"/>
  <c r="Q39" i="13"/>
  <c r="M39" i="13"/>
  <c r="I39" i="13"/>
  <c r="E39" i="13"/>
  <c r="Q38" i="13"/>
  <c r="M38" i="13"/>
  <c r="E38" i="13"/>
  <c r="I38" i="13"/>
  <c r="E35" i="13"/>
  <c r="F88" i="13"/>
  <c r="D88" i="13"/>
  <c r="F87" i="13"/>
  <c r="D87" i="13"/>
  <c r="F86" i="13"/>
  <c r="D86" i="13"/>
  <c r="F85" i="13"/>
  <c r="D85" i="13"/>
  <c r="E88" i="13"/>
  <c r="E87" i="13"/>
  <c r="E86" i="13"/>
  <c r="E85" i="13"/>
  <c r="G88" i="13"/>
  <c r="G87" i="13"/>
  <c r="G86" i="13"/>
  <c r="G85" i="13"/>
  <c r="P27" i="3"/>
  <c r="P26" i="3"/>
  <c r="O27" i="3"/>
  <c r="O26" i="3"/>
  <c r="N26" i="3"/>
  <c r="M27" i="3"/>
  <c r="M26" i="3"/>
  <c r="L27" i="3"/>
  <c r="L26" i="3"/>
  <c r="J2" i="6" a="1"/>
  <c r="W3" i="5" a="1"/>
  <c r="F35" i="13" l="1"/>
  <c r="F33" i="13"/>
  <c r="E33" i="13"/>
  <c r="F32" i="13"/>
  <c r="F34" i="13"/>
  <c r="E32" i="13"/>
  <c r="E34" i="13"/>
  <c r="D32" i="13"/>
  <c r="D33" i="13"/>
  <c r="D34" i="13"/>
  <c r="D35" i="13"/>
  <c r="C32" i="13"/>
  <c r="C33" i="13"/>
  <c r="C34" i="13"/>
  <c r="L88" i="14"/>
  <c r="J88" i="14"/>
  <c r="L87" i="14"/>
  <c r="J87" i="14"/>
  <c r="L86" i="14"/>
  <c r="J86" i="14"/>
  <c r="L85" i="14"/>
  <c r="J85" i="14"/>
  <c r="I88" i="14"/>
  <c r="I87" i="14"/>
  <c r="I86" i="14"/>
  <c r="I85" i="14"/>
  <c r="K87" i="14"/>
  <c r="K85" i="14"/>
  <c r="K88" i="14"/>
  <c r="K86" i="14"/>
  <c r="R32" i="13"/>
  <c r="T32" i="13"/>
  <c r="R33" i="13"/>
  <c r="T33" i="13"/>
  <c r="R34" i="13"/>
  <c r="S32" i="13"/>
  <c r="U32" i="13"/>
  <c r="R35" i="13"/>
  <c r="S33" i="13"/>
  <c r="S34" i="13"/>
  <c r="S35" i="13"/>
  <c r="T34" i="13"/>
  <c r="T35" i="13"/>
  <c r="U33" i="13"/>
  <c r="U34" i="13"/>
  <c r="W55" i="13" a="1"/>
  <c r="W70" i="13" s="1"/>
  <c r="Z75" i="13" s="1"/>
  <c r="K16" i="13" s="1"/>
  <c r="S85" i="13" a="1"/>
  <c r="N85" i="14" l="1" a="1"/>
  <c r="D91" i="14" a="1"/>
  <c r="W62" i="13"/>
  <c r="X75" i="13" s="1"/>
  <c r="I16" i="13" s="1"/>
  <c r="W69" i="13"/>
  <c r="Z74" i="13" s="1"/>
  <c r="K15" i="13" s="1"/>
  <c r="W61" i="13"/>
  <c r="X74" i="13" s="1"/>
  <c r="I15" i="13" s="1"/>
  <c r="W68" i="13"/>
  <c r="Z73" i="13" s="1"/>
  <c r="K14" i="13" s="1"/>
  <c r="W67" i="13"/>
  <c r="Z72" i="13" s="1"/>
  <c r="K13" i="13" s="1"/>
  <c r="W64" i="13"/>
  <c r="Y73" i="13" s="1"/>
  <c r="J14" i="13" s="1"/>
  <c r="W63" i="13"/>
  <c r="Y72" i="13" s="1"/>
  <c r="J13" i="13" s="1"/>
  <c r="W66" i="13"/>
  <c r="Y75" i="13" s="1"/>
  <c r="J16" i="13" s="1"/>
  <c r="W58" i="13"/>
  <c r="W75" i="13" s="1"/>
  <c r="H16" i="13" s="1"/>
  <c r="W65" i="13"/>
  <c r="Y74" i="13" s="1"/>
  <c r="J15" i="13" s="1"/>
  <c r="W57" i="13"/>
  <c r="W74" i="13" s="1"/>
  <c r="H15" i="13" s="1"/>
  <c r="W60" i="13"/>
  <c r="X73" i="13" s="1"/>
  <c r="I14" i="13" s="1"/>
  <c r="W59" i="13"/>
  <c r="X72" i="13" s="1"/>
  <c r="I13" i="13" s="1"/>
  <c r="W56" i="13"/>
  <c r="W73" i="13" s="1"/>
  <c r="H14" i="13" s="1"/>
  <c r="W55" i="13"/>
  <c r="V88" i="13"/>
  <c r="T88" i="13"/>
  <c r="V87" i="13"/>
  <c r="T87" i="13"/>
  <c r="V86" i="13"/>
  <c r="T86" i="13"/>
  <c r="V85" i="13"/>
  <c r="T85" i="13"/>
  <c r="U88" i="13"/>
  <c r="U87" i="13"/>
  <c r="U86" i="13"/>
  <c r="U85" i="13"/>
  <c r="S88" i="13"/>
  <c r="S87" i="13"/>
  <c r="S86" i="13"/>
  <c r="S85" i="13"/>
  <c r="C17" i="5"/>
  <c r="D18" i="5" s="1"/>
  <c r="E19" i="5" s="1"/>
  <c r="F20" i="5" s="1"/>
  <c r="H5" i="5"/>
  <c r="I8" i="5"/>
  <c r="H7" i="5"/>
  <c r="F14" i="5"/>
  <c r="E13" i="5"/>
  <c r="D12" i="5"/>
  <c r="C11" i="5"/>
  <c r="O39" i="6"/>
  <c r="O44" i="6" s="1"/>
  <c r="P37" i="6"/>
  <c r="P42" i="6" s="1"/>
  <c r="M37" i="6"/>
  <c r="M42" i="6" s="1"/>
  <c r="M47" i="6" s="1"/>
  <c r="P36" i="6"/>
  <c r="P41" i="6" s="1"/>
  <c r="M36" i="6"/>
  <c r="M41" i="6" s="1"/>
  <c r="M46" i="6" s="1"/>
  <c r="P35" i="6"/>
  <c r="P40" i="6" s="1"/>
  <c r="M35" i="6"/>
  <c r="M40" i="6" s="1"/>
  <c r="M45" i="6" s="1"/>
  <c r="P34" i="6"/>
  <c r="P39" i="6" s="1"/>
  <c r="M34" i="6"/>
  <c r="M39" i="6" s="1"/>
  <c r="M44" i="6" s="1"/>
  <c r="J29" i="6"/>
  <c r="I29" i="6"/>
  <c r="J28" i="6"/>
  <c r="I28" i="6"/>
  <c r="D7" i="6"/>
  <c r="C7" i="6"/>
  <c r="D6" i="6"/>
  <c r="C6" i="6"/>
  <c r="H8" i="5"/>
  <c r="J8" i="5"/>
  <c r="J7" i="5"/>
  <c r="H6" i="5"/>
  <c r="I6" i="5"/>
  <c r="T34" i="5" a="1"/>
  <c r="W72" i="13" l="1"/>
  <c r="I85" i="13" a="1"/>
  <c r="W3" i="13" a="1"/>
  <c r="W78" i="13" a="1"/>
  <c r="J85" i="13"/>
  <c r="I87" i="13"/>
  <c r="I88" i="13"/>
  <c r="K85" i="13"/>
  <c r="L85" i="13"/>
  <c r="J87" i="13"/>
  <c r="I86" i="13"/>
  <c r="J86" i="13"/>
  <c r="K87" i="13"/>
  <c r="K88" i="13"/>
  <c r="K86" i="13"/>
  <c r="L86" i="13"/>
  <c r="L87" i="13"/>
  <c r="F94" i="14"/>
  <c r="D94" i="14"/>
  <c r="F93" i="14"/>
  <c r="D93" i="14"/>
  <c r="F92" i="14"/>
  <c r="D92" i="14"/>
  <c r="F91" i="14"/>
  <c r="D91" i="14"/>
  <c r="E94" i="14"/>
  <c r="E93" i="14"/>
  <c r="E92" i="14"/>
  <c r="E91" i="14"/>
  <c r="G94" i="14"/>
  <c r="G92" i="14"/>
  <c r="G93" i="14"/>
  <c r="G91" i="14"/>
  <c r="P88" i="14"/>
  <c r="N88" i="14"/>
  <c r="P87" i="14"/>
  <c r="N87" i="14"/>
  <c r="P86" i="14"/>
  <c r="N86" i="14"/>
  <c r="P85" i="14"/>
  <c r="N85" i="14"/>
  <c r="Q88" i="14"/>
  <c r="Q87" i="14"/>
  <c r="Q86" i="14"/>
  <c r="Q85" i="14"/>
  <c r="O87" i="14"/>
  <c r="O85" i="14"/>
  <c r="O88" i="14"/>
  <c r="O86" i="14"/>
  <c r="I7" i="5"/>
  <c r="C9" i="6" a="1"/>
  <c r="D9" i="6" s="1"/>
  <c r="T35" i="5"/>
  <c r="T52" i="5" s="1"/>
  <c r="T37" i="5"/>
  <c r="T54" i="5" s="1"/>
  <c r="T39" i="5"/>
  <c r="T56" i="5" s="1"/>
  <c r="T41" i="5"/>
  <c r="T58" i="5" s="1"/>
  <c r="T43" i="5"/>
  <c r="T60" i="5" s="1"/>
  <c r="T45" i="5"/>
  <c r="T62" i="5" s="1"/>
  <c r="T47" i="5"/>
  <c r="T64" i="5" s="1"/>
  <c r="T49" i="5"/>
  <c r="T66" i="5" s="1"/>
  <c r="T34" i="5"/>
  <c r="T51" i="5" s="1"/>
  <c r="T36" i="5"/>
  <c r="T53" i="5" s="1"/>
  <c r="T38" i="5"/>
  <c r="T55" i="5" s="1"/>
  <c r="T40" i="5"/>
  <c r="T57" i="5" s="1"/>
  <c r="T42" i="5"/>
  <c r="T59" i="5" s="1"/>
  <c r="T44" i="5"/>
  <c r="T61" i="5" s="1"/>
  <c r="T46" i="5"/>
  <c r="T63" i="5" s="1"/>
  <c r="T48" i="5"/>
  <c r="T65" i="5" s="1"/>
  <c r="W28" i="5" a="1"/>
  <c r="X28" i="5" s="1"/>
  <c r="L23" i="3"/>
  <c r="L22" i="3"/>
  <c r="N21" i="3"/>
  <c r="L21" i="3"/>
  <c r="L16" i="3"/>
  <c r="N16" i="3"/>
  <c r="L17" i="3"/>
  <c r="L18" i="3"/>
  <c r="L19" i="3"/>
  <c r="L24" i="3" s="1"/>
  <c r="L13" i="3"/>
  <c r="L14" i="3"/>
  <c r="L11" i="3"/>
  <c r="L12" i="3"/>
  <c r="O16" i="3"/>
  <c r="O17" i="3"/>
  <c r="O18" i="3"/>
  <c r="O19" i="3"/>
  <c r="O14" i="3"/>
  <c r="O13" i="3"/>
  <c r="O12" i="3"/>
  <c r="O11" i="3"/>
  <c r="G16" i="3" a="1"/>
  <c r="I16" i="3"/>
  <c r="J16" i="3"/>
  <c r="I17" i="3"/>
  <c r="J17" i="3"/>
  <c r="G18" i="3"/>
  <c r="H18" i="3"/>
  <c r="G19" i="3"/>
  <c r="H19" i="3"/>
  <c r="J14" i="3"/>
  <c r="H14" i="3"/>
  <c r="J12" i="3"/>
  <c r="H12" i="3"/>
  <c r="G11" i="3"/>
  <c r="I11" i="3"/>
  <c r="G13" i="3"/>
  <c r="I13" i="3"/>
  <c r="D13" i="3"/>
  <c r="I18" i="3" s="1"/>
  <c r="E13" i="3"/>
  <c r="J18" i="3" s="1"/>
  <c r="D14" i="3"/>
  <c r="I19" i="3" s="1"/>
  <c r="E14" i="3"/>
  <c r="J19" i="3" s="1"/>
  <c r="B11" i="3"/>
  <c r="G16" i="3" s="1"/>
  <c r="C11" i="3"/>
  <c r="H16" i="3" s="1"/>
  <c r="B12" i="3"/>
  <c r="G17" i="3" s="1"/>
  <c r="C12" i="3"/>
  <c r="H17" i="3" s="1"/>
  <c r="I5" i="3"/>
  <c r="H5" i="3"/>
  <c r="K4" i="3" a="1"/>
  <c r="K5" i="3" s="1"/>
  <c r="I4" i="3"/>
  <c r="H4" i="3"/>
  <c r="H13" i="13" l="1"/>
  <c r="V24" i="13" s="1"/>
  <c r="W3" i="13"/>
  <c r="I85" i="13"/>
  <c r="W78" i="13"/>
  <c r="A1" i="13" s="1"/>
  <c r="L88" i="13"/>
  <c r="J88" i="13"/>
  <c r="N91" i="14" a="1"/>
  <c r="K8" i="5"/>
  <c r="O5" i="5" s="1" a="1"/>
  <c r="R8" i="5" s="1"/>
  <c r="C10" i="6"/>
  <c r="D10" i="6"/>
  <c r="C9" i="6"/>
  <c r="F15" i="6" s="1" a="1"/>
  <c r="F16" i="6" s="1"/>
  <c r="I16" i="6" s="1"/>
  <c r="Y31" i="5"/>
  <c r="Z31" i="5"/>
  <c r="Y29" i="5"/>
  <c r="Z29" i="5"/>
  <c r="Y30" i="5"/>
  <c r="Y28" i="5"/>
  <c r="Z30" i="5"/>
  <c r="Z28" i="5"/>
  <c r="W31" i="5"/>
  <c r="W30" i="5"/>
  <c r="W29" i="5"/>
  <c r="W28" i="5"/>
  <c r="X31" i="5"/>
  <c r="X30" i="5"/>
  <c r="X29" i="5"/>
  <c r="O21" i="3" a="1"/>
  <c r="O21" i="3" s="1"/>
  <c r="O23" i="3"/>
  <c r="L4" i="3"/>
  <c r="L5" i="3"/>
  <c r="K4" i="3"/>
  <c r="E31" i="2" a="1"/>
  <c r="E31" i="2"/>
  <c r="O13" i="2"/>
  <c r="O12" i="2"/>
  <c r="O11" i="2"/>
  <c r="O10" i="2"/>
  <c r="K27" i="2"/>
  <c r="K26" i="2"/>
  <c r="K26" i="2" a="1"/>
  <c r="L27" i="2" s="1"/>
  <c r="L21" i="2"/>
  <c r="N21" i="2"/>
  <c r="L22" i="2"/>
  <c r="L23" i="2"/>
  <c r="L24" i="2"/>
  <c r="L15" i="2"/>
  <c r="N15" i="2"/>
  <c r="O15" i="2"/>
  <c r="L16" i="2"/>
  <c r="O16" i="2"/>
  <c r="L17" i="2"/>
  <c r="O17" i="2"/>
  <c r="L18" i="2"/>
  <c r="O18" i="2"/>
  <c r="O21" i="2" s="1" a="1"/>
  <c r="O21" i="2" s="1"/>
  <c r="E26" i="2" s="1"/>
  <c r="H15" i="2"/>
  <c r="I15" i="2"/>
  <c r="J15" i="2"/>
  <c r="H16" i="2"/>
  <c r="I16" i="2"/>
  <c r="J16" i="2"/>
  <c r="H17" i="2"/>
  <c r="I17" i="2"/>
  <c r="J17" i="2"/>
  <c r="H18" i="2"/>
  <c r="I18" i="2"/>
  <c r="J18" i="2"/>
  <c r="G16" i="2"/>
  <c r="G17" i="2"/>
  <c r="G18" i="2"/>
  <c r="G15" i="2"/>
  <c r="L13" i="2"/>
  <c r="L12" i="2"/>
  <c r="L11" i="2"/>
  <c r="L10" i="2"/>
  <c r="O7" i="2" a="1"/>
  <c r="O7" i="2" s="1"/>
  <c r="I12" i="2" a="1"/>
  <c r="I12" i="2"/>
  <c r="J12" i="2"/>
  <c r="I13" i="2"/>
  <c r="J13" i="2"/>
  <c r="G12" i="2" a="1"/>
  <c r="G12" i="2" s="1"/>
  <c r="I10" i="2" a="1"/>
  <c r="I10" i="2" s="1"/>
  <c r="G10" i="2" a="1"/>
  <c r="G10" i="2"/>
  <c r="H10" i="2"/>
  <c r="G11" i="2"/>
  <c r="H11" i="2"/>
  <c r="B7" i="2" a="1"/>
  <c r="B7" i="2" s="1"/>
  <c r="K4" i="2" a="1"/>
  <c r="K4" i="2"/>
  <c r="L4" i="2"/>
  <c r="K5" i="2"/>
  <c r="L5" i="2"/>
  <c r="H4" i="2"/>
  <c r="I4" i="2"/>
  <c r="H5" i="2"/>
  <c r="I5" i="2"/>
  <c r="W34" i="5" a="1"/>
  <c r="J27" i="13" l="1"/>
  <c r="N85" i="13" a="1"/>
  <c r="D91" i="13" a="1"/>
  <c r="Q94" i="14"/>
  <c r="O94" i="14"/>
  <c r="Q93" i="14"/>
  <c r="O93" i="14"/>
  <c r="Q92" i="14"/>
  <c r="O92" i="14"/>
  <c r="Q91" i="14"/>
  <c r="O91" i="14"/>
  <c r="N94" i="14"/>
  <c r="N93" i="14"/>
  <c r="N92" i="14"/>
  <c r="N91" i="14"/>
  <c r="P94" i="14"/>
  <c r="P92" i="14"/>
  <c r="P93" i="14"/>
  <c r="P91" i="14"/>
  <c r="Q8" i="5"/>
  <c r="P8" i="5"/>
  <c r="O5" i="5"/>
  <c r="R5" i="5"/>
  <c r="Q5" i="5"/>
  <c r="P5" i="5"/>
  <c r="P6" i="5"/>
  <c r="R6" i="5"/>
  <c r="Q6" i="5"/>
  <c r="O8" i="5"/>
  <c r="R7" i="5"/>
  <c r="Q7" i="5"/>
  <c r="P7" i="5"/>
  <c r="O7" i="5"/>
  <c r="O6" i="5"/>
  <c r="G15" i="6"/>
  <c r="J15" i="6" s="1"/>
  <c r="F15" i="6"/>
  <c r="I15" i="6" s="1"/>
  <c r="C28" i="6" s="1"/>
  <c r="G16" i="6"/>
  <c r="J16" i="6" s="1"/>
  <c r="U51" i="6" s="1"/>
  <c r="D28" i="6"/>
  <c r="U50" i="6"/>
  <c r="C29" i="6"/>
  <c r="T51" i="6"/>
  <c r="D29" i="6"/>
  <c r="O22" i="3"/>
  <c r="W37" i="5"/>
  <c r="W41" i="5"/>
  <c r="W45" i="5"/>
  <c r="W49" i="5"/>
  <c r="W36" i="5"/>
  <c r="W40" i="5"/>
  <c r="W44" i="5"/>
  <c r="W48" i="5"/>
  <c r="W35" i="5"/>
  <c r="W43" i="5"/>
  <c r="W34" i="5"/>
  <c r="W42" i="5"/>
  <c r="W47" i="5"/>
  <c r="W46" i="5"/>
  <c r="W39" i="5"/>
  <c r="W38" i="5"/>
  <c r="O24" i="3"/>
  <c r="H26" i="2"/>
  <c r="O24" i="2"/>
  <c r="F27" i="2" s="1"/>
  <c r="I27" i="2" s="1"/>
  <c r="O22" i="2"/>
  <c r="E27" i="2" s="1"/>
  <c r="H27" i="2" s="1"/>
  <c r="O23" i="2"/>
  <c r="F26" i="2" s="1"/>
  <c r="I26" i="2" s="1"/>
  <c r="L26" i="2"/>
  <c r="P8" i="2"/>
  <c r="P7" i="2"/>
  <c r="O8" i="2"/>
  <c r="H13" i="2"/>
  <c r="H12" i="2"/>
  <c r="G13" i="2"/>
  <c r="J11" i="2"/>
  <c r="J10" i="2"/>
  <c r="I11" i="2"/>
  <c r="C8" i="2"/>
  <c r="C7" i="2"/>
  <c r="B8" i="2"/>
  <c r="B11" i="1" a="1"/>
  <c r="B11" i="1" s="1"/>
  <c r="G17" i="1" s="1"/>
  <c r="C11" i="1"/>
  <c r="C12" i="1"/>
  <c r="D9" i="1" a="1"/>
  <c r="D9" i="1"/>
  <c r="E9" i="1"/>
  <c r="D10" i="1"/>
  <c r="E10" i="1"/>
  <c r="L21" i="1"/>
  <c r="L22" i="1"/>
  <c r="L23" i="1"/>
  <c r="L24" i="1"/>
  <c r="G15" i="1" a="1"/>
  <c r="G15" i="1"/>
  <c r="H15" i="1"/>
  <c r="I15" i="1"/>
  <c r="J15" i="1"/>
  <c r="G16" i="1"/>
  <c r="H16" i="1"/>
  <c r="I16" i="1"/>
  <c r="J16" i="1"/>
  <c r="H17" i="1"/>
  <c r="I17" i="1"/>
  <c r="J17" i="1"/>
  <c r="H18" i="1"/>
  <c r="I18" i="1"/>
  <c r="J18" i="1"/>
  <c r="Q11" i="1"/>
  <c r="Q12" i="1"/>
  <c r="Q9" i="1"/>
  <c r="Q10" i="1"/>
  <c r="L11" i="1"/>
  <c r="L12" i="1"/>
  <c r="L9" i="1"/>
  <c r="L10" i="1"/>
  <c r="I11" i="1"/>
  <c r="J11" i="1"/>
  <c r="I12" i="1"/>
  <c r="J12" i="1"/>
  <c r="G9" i="1"/>
  <c r="H9" i="1"/>
  <c r="G10" i="1"/>
  <c r="H10" i="1"/>
  <c r="D11" i="1" a="1"/>
  <c r="D11" i="1"/>
  <c r="E11" i="1"/>
  <c r="D12" i="1"/>
  <c r="E12" i="1"/>
  <c r="B9" i="1" a="1"/>
  <c r="B9" i="1" s="1"/>
  <c r="C9" i="1"/>
  <c r="B10" i="1"/>
  <c r="C10" i="1"/>
  <c r="N4" i="1"/>
  <c r="O4" i="1"/>
  <c r="N5" i="1"/>
  <c r="O5" i="1"/>
  <c r="H34" i="6" a="1"/>
  <c r="C34" i="6" a="1"/>
  <c r="I28" i="13" l="1"/>
  <c r="H29" i="13" s="1"/>
  <c r="D94" i="13"/>
  <c r="D93" i="13"/>
  <c r="D92" i="13"/>
  <c r="D91" i="13"/>
  <c r="E93" i="13"/>
  <c r="E91" i="13"/>
  <c r="G93" i="13"/>
  <c r="G91" i="13"/>
  <c r="F94" i="13"/>
  <c r="F93" i="13"/>
  <c r="F92" i="13"/>
  <c r="F91" i="13"/>
  <c r="E94" i="13"/>
  <c r="E92" i="13"/>
  <c r="G94" i="13"/>
  <c r="G92" i="13"/>
  <c r="N88" i="13"/>
  <c r="N87" i="13"/>
  <c r="N86" i="13"/>
  <c r="N85" i="13"/>
  <c r="Q87" i="13"/>
  <c r="Q85" i="13"/>
  <c r="O87" i="13"/>
  <c r="O85" i="13"/>
  <c r="P88" i="13"/>
  <c r="P87" i="13"/>
  <c r="P86" i="13"/>
  <c r="P85" i="13"/>
  <c r="Q88" i="13"/>
  <c r="Q86" i="13"/>
  <c r="O88" i="13"/>
  <c r="O86" i="13"/>
  <c r="D97" i="14" a="1"/>
  <c r="T50" i="6"/>
  <c r="H17" i="5" a="1"/>
  <c r="I19" i="5" s="1"/>
  <c r="L28" i="6" a="1"/>
  <c r="M29" i="6" s="1"/>
  <c r="AC50" i="6" a="1"/>
  <c r="AC50" i="6" s="1"/>
  <c r="E35" i="6"/>
  <c r="E37" i="6"/>
  <c r="F35" i="6"/>
  <c r="F37" i="6"/>
  <c r="C35" i="6"/>
  <c r="C37" i="6"/>
  <c r="D35" i="6"/>
  <c r="D37" i="6"/>
  <c r="E34" i="6"/>
  <c r="E36" i="6"/>
  <c r="F34" i="6"/>
  <c r="F36" i="6"/>
  <c r="C34" i="6"/>
  <c r="C36" i="6"/>
  <c r="D34" i="6"/>
  <c r="D36" i="6"/>
  <c r="J35" i="6"/>
  <c r="J37" i="6"/>
  <c r="K35" i="6"/>
  <c r="K37" i="6"/>
  <c r="H35" i="6"/>
  <c r="H37" i="6"/>
  <c r="I35" i="6"/>
  <c r="I37" i="6"/>
  <c r="J34" i="6"/>
  <c r="J36" i="6"/>
  <c r="K34" i="6"/>
  <c r="K36" i="6"/>
  <c r="H34" i="6"/>
  <c r="H36" i="6"/>
  <c r="I34" i="6"/>
  <c r="I36" i="6"/>
  <c r="H39" i="6" a="1"/>
  <c r="M28" i="6"/>
  <c r="L28" i="6"/>
  <c r="O29" i="2" a="1"/>
  <c r="N21" i="1" a="1"/>
  <c r="N21" i="1" s="1"/>
  <c r="E27" i="1" s="1"/>
  <c r="B12" i="1"/>
  <c r="G18" i="1" s="1"/>
  <c r="O26" i="13" l="1" a="1"/>
  <c r="P26" i="13" s="1"/>
  <c r="N91" i="13" a="1"/>
  <c r="F100" i="14"/>
  <c r="D100" i="14"/>
  <c r="F99" i="14"/>
  <c r="D99" i="14"/>
  <c r="F98" i="14"/>
  <c r="D98" i="14"/>
  <c r="F97" i="14"/>
  <c r="D97" i="14"/>
  <c r="G100" i="14"/>
  <c r="G99" i="14"/>
  <c r="G98" i="14"/>
  <c r="G97" i="14"/>
  <c r="E100" i="14"/>
  <c r="E98" i="14"/>
  <c r="E99" i="14"/>
  <c r="E97" i="14"/>
  <c r="AD50" i="6"/>
  <c r="AD51" i="6"/>
  <c r="L29" i="6"/>
  <c r="H20" i="5"/>
  <c r="K20" i="5"/>
  <c r="H18" i="5"/>
  <c r="H19" i="5"/>
  <c r="J20" i="5"/>
  <c r="I17" i="5"/>
  <c r="J18" i="5"/>
  <c r="J19" i="5"/>
  <c r="K19" i="5"/>
  <c r="I20" i="5"/>
  <c r="J17" i="5"/>
  <c r="H17" i="5"/>
  <c r="K17" i="5"/>
  <c r="I18" i="5"/>
  <c r="K18" i="5"/>
  <c r="AC51" i="6"/>
  <c r="J42" i="6"/>
  <c r="H42" i="6"/>
  <c r="J41" i="6"/>
  <c r="H41" i="6"/>
  <c r="J40" i="6"/>
  <c r="H40" i="6"/>
  <c r="J39" i="6"/>
  <c r="H39" i="6"/>
  <c r="K42" i="6"/>
  <c r="I42" i="6"/>
  <c r="K41" i="6"/>
  <c r="I41" i="6"/>
  <c r="K40" i="6"/>
  <c r="I40" i="6"/>
  <c r="K39" i="6"/>
  <c r="I39" i="6"/>
  <c r="O29" i="2"/>
  <c r="O30" i="2"/>
  <c r="P29" i="2"/>
  <c r="P30" i="2"/>
  <c r="N27" i="1"/>
  <c r="N22" i="1"/>
  <c r="E28" i="1" s="1"/>
  <c r="N28" i="1" s="1"/>
  <c r="N23" i="1"/>
  <c r="F27" i="1" s="1"/>
  <c r="O27" i="1" s="1"/>
  <c r="N24" i="1"/>
  <c r="F28" i="1" s="1"/>
  <c r="O28" i="1" s="1"/>
  <c r="Q29" i="13" l="1"/>
  <c r="Q27" i="13"/>
  <c r="R29" i="13"/>
  <c r="R27" i="13"/>
  <c r="Q28" i="13"/>
  <c r="Q26" i="13"/>
  <c r="R28" i="13"/>
  <c r="R26" i="13"/>
  <c r="O29" i="13"/>
  <c r="O28" i="13"/>
  <c r="O27" i="13"/>
  <c r="O26" i="13"/>
  <c r="P29" i="13"/>
  <c r="P28" i="13"/>
  <c r="P27" i="13"/>
  <c r="O94" i="13"/>
  <c r="O93" i="13"/>
  <c r="O92" i="13"/>
  <c r="O91" i="13"/>
  <c r="N93" i="13"/>
  <c r="N91" i="13"/>
  <c r="P93" i="13"/>
  <c r="P91" i="13"/>
  <c r="Q94" i="13"/>
  <c r="Q93" i="13"/>
  <c r="Q92" i="13"/>
  <c r="Q91" i="13"/>
  <c r="N94" i="13"/>
  <c r="N92" i="13"/>
  <c r="P94" i="13"/>
  <c r="P92" i="13"/>
  <c r="D102" i="14" a="1"/>
  <c r="P20" i="5"/>
  <c r="E84" i="5" s="1"/>
  <c r="R20" i="5"/>
  <c r="Q18" i="5"/>
  <c r="F82" i="5" s="1"/>
  <c r="Q17" i="5"/>
  <c r="F81" i="5" s="1"/>
  <c r="O18" i="5"/>
  <c r="D82" i="5" s="1"/>
  <c r="O17" i="5"/>
  <c r="P17" i="5"/>
  <c r="E81" i="5" s="1"/>
  <c r="R18" i="5"/>
  <c r="G82" i="5" s="1"/>
  <c r="P19" i="5"/>
  <c r="E83" i="5" s="1"/>
  <c r="Q19" i="5"/>
  <c r="F83" i="5" s="1"/>
  <c r="R19" i="5"/>
  <c r="G83" i="5" s="1"/>
  <c r="O20" i="5"/>
  <c r="D84" i="5" s="1"/>
  <c r="Q20" i="5"/>
  <c r="F84" i="5" s="1"/>
  <c r="O19" i="5"/>
  <c r="D83" i="5" s="1"/>
  <c r="R17" i="5"/>
  <c r="G81" i="5" s="1"/>
  <c r="P18" i="5"/>
  <c r="E82" i="5" s="1"/>
  <c r="P44" i="6" a="1"/>
  <c r="E34" i="1"/>
  <c r="H31" i="1" a="1"/>
  <c r="H32" i="1" s="1"/>
  <c r="E33" i="1"/>
  <c r="C34" i="5" a="1"/>
  <c r="D97" i="13" l="1" a="1"/>
  <c r="G105" i="14"/>
  <c r="E105" i="14"/>
  <c r="G104" i="14"/>
  <c r="E104" i="14"/>
  <c r="G103" i="14"/>
  <c r="E103" i="14"/>
  <c r="G102" i="14"/>
  <c r="E102" i="14"/>
  <c r="F105" i="14"/>
  <c r="F104" i="14"/>
  <c r="F103" i="14"/>
  <c r="F102" i="14"/>
  <c r="D105" i="14"/>
  <c r="D103" i="14"/>
  <c r="D104" i="14"/>
  <c r="D102" i="14"/>
  <c r="C28" i="5" a="1"/>
  <c r="E29" i="5" s="1"/>
  <c r="D30" i="5"/>
  <c r="E31" i="5"/>
  <c r="D29" i="5"/>
  <c r="D31" i="5"/>
  <c r="C31" i="5"/>
  <c r="C30" i="5"/>
  <c r="E28" i="5"/>
  <c r="F34" i="5"/>
  <c r="N34" i="5"/>
  <c r="F35" i="5"/>
  <c r="N35" i="5"/>
  <c r="F36" i="5"/>
  <c r="G34" i="5"/>
  <c r="O34" i="5"/>
  <c r="G35" i="5"/>
  <c r="O35" i="5"/>
  <c r="G36" i="5"/>
  <c r="O36" i="5"/>
  <c r="G37" i="5"/>
  <c r="O37" i="5"/>
  <c r="G38" i="5"/>
  <c r="O38" i="5"/>
  <c r="G39" i="5"/>
  <c r="O39" i="5"/>
  <c r="G40" i="5"/>
  <c r="O40" i="5"/>
  <c r="G41" i="5"/>
  <c r="O41" i="5"/>
  <c r="G42" i="5"/>
  <c r="O42" i="5"/>
  <c r="G43" i="5"/>
  <c r="O43" i="5"/>
  <c r="G44" i="5"/>
  <c r="N36" i="5"/>
  <c r="N37" i="5"/>
  <c r="N38" i="5"/>
  <c r="N39" i="5"/>
  <c r="N40" i="5"/>
  <c r="N41" i="5"/>
  <c r="N42" i="5"/>
  <c r="N43" i="5"/>
  <c r="M44" i="5"/>
  <c r="E45" i="5"/>
  <c r="M45" i="5"/>
  <c r="E46" i="5"/>
  <c r="M46" i="5"/>
  <c r="L34" i="5"/>
  <c r="L35" i="5"/>
  <c r="E34" i="5"/>
  <c r="E35" i="5"/>
  <c r="E36" i="5"/>
  <c r="E37" i="5"/>
  <c r="E38" i="5"/>
  <c r="E39" i="5"/>
  <c r="E40" i="5"/>
  <c r="E41" i="5"/>
  <c r="E42" i="5"/>
  <c r="E43" i="5"/>
  <c r="E44" i="5"/>
  <c r="J37" i="5"/>
  <c r="J39" i="5"/>
  <c r="J41" i="5"/>
  <c r="J43" i="5"/>
  <c r="C45" i="5"/>
  <c r="C46" i="5"/>
  <c r="Q46" i="5"/>
  <c r="I47" i="5"/>
  <c r="Q47" i="5"/>
  <c r="I48" i="5"/>
  <c r="Q48" i="5"/>
  <c r="I49" i="5"/>
  <c r="Q49" i="5"/>
  <c r="H37" i="5"/>
  <c r="H38" i="5"/>
  <c r="H39" i="5"/>
  <c r="H40" i="5"/>
  <c r="H41" i="5"/>
  <c r="H42" i="5"/>
  <c r="H43" i="5"/>
  <c r="H44" i="5"/>
  <c r="R44" i="5"/>
  <c r="J45" i="5"/>
  <c r="R45" i="5"/>
  <c r="J46" i="5"/>
  <c r="R46" i="5"/>
  <c r="J47" i="5"/>
  <c r="P34" i="5"/>
  <c r="I34" i="5"/>
  <c r="I36" i="5"/>
  <c r="I38" i="5"/>
  <c r="I40" i="5"/>
  <c r="I42" i="5"/>
  <c r="J34" i="5"/>
  <c r="J35" i="5"/>
  <c r="C34" i="5"/>
  <c r="C35" i="5"/>
  <c r="C36" i="5"/>
  <c r="C37" i="5"/>
  <c r="C38" i="5"/>
  <c r="C39" i="5"/>
  <c r="C40" i="5"/>
  <c r="C41" i="5"/>
  <c r="C42" i="5"/>
  <c r="C43" i="5"/>
  <c r="C44" i="5"/>
  <c r="F37" i="5"/>
  <c r="F39" i="5"/>
  <c r="F41" i="5"/>
  <c r="F43" i="5"/>
  <c r="Q44" i="5"/>
  <c r="Q45" i="5"/>
  <c r="D34" i="5"/>
  <c r="D36" i="5"/>
  <c r="M35" i="5"/>
  <c r="M37" i="5"/>
  <c r="M39" i="5"/>
  <c r="M41" i="5"/>
  <c r="M43" i="5"/>
  <c r="J38" i="5"/>
  <c r="R34" i="5"/>
  <c r="R35" i="5"/>
  <c r="K34" i="5"/>
  <c r="K35" i="5"/>
  <c r="K36" i="5"/>
  <c r="K37" i="5"/>
  <c r="K38" i="5"/>
  <c r="K39" i="5"/>
  <c r="K40" i="5"/>
  <c r="K41" i="5"/>
  <c r="K42" i="5"/>
  <c r="K43" i="5"/>
  <c r="K44" i="5"/>
  <c r="F38" i="5"/>
  <c r="F40" i="5"/>
  <c r="F42" i="5"/>
  <c r="F44" i="5"/>
  <c r="I45" i="5"/>
  <c r="I46" i="5"/>
  <c r="D35" i="5"/>
  <c r="M34" i="5"/>
  <c r="M36" i="5"/>
  <c r="M38" i="5"/>
  <c r="M40" i="5"/>
  <c r="M42" i="5"/>
  <c r="J36" i="5"/>
  <c r="J40" i="5"/>
  <c r="J44" i="5"/>
  <c r="K46" i="5"/>
  <c r="M47" i="5"/>
  <c r="M48" i="5"/>
  <c r="M49" i="5"/>
  <c r="P37" i="5"/>
  <c r="P39" i="5"/>
  <c r="P41" i="5"/>
  <c r="P43" i="5"/>
  <c r="F45" i="5"/>
  <c r="F46" i="5"/>
  <c r="F47" i="5"/>
  <c r="P35" i="5"/>
  <c r="I37" i="5"/>
  <c r="I41" i="5"/>
  <c r="I44" i="5"/>
  <c r="R39" i="5"/>
  <c r="R43" i="5"/>
  <c r="G46" i="5"/>
  <c r="K47" i="5"/>
  <c r="K48" i="5"/>
  <c r="K49" i="5"/>
  <c r="L37" i="5"/>
  <c r="L39" i="5"/>
  <c r="L41" i="5"/>
  <c r="L43" i="5"/>
  <c r="D45" i="5"/>
  <c r="D46" i="5"/>
  <c r="D47" i="5"/>
  <c r="R47" i="5"/>
  <c r="J48" i="5"/>
  <c r="R48" i="5"/>
  <c r="J49" i="5"/>
  <c r="R49" i="5"/>
  <c r="H35" i="5"/>
  <c r="Q34" i="5"/>
  <c r="Q36" i="5"/>
  <c r="Q38" i="5"/>
  <c r="Q40" i="5"/>
  <c r="Q42" i="5"/>
  <c r="R36" i="5"/>
  <c r="R40" i="5"/>
  <c r="O44" i="5"/>
  <c r="O46" i="5"/>
  <c r="O47" i="5"/>
  <c r="O48" i="5"/>
  <c r="O49" i="5"/>
  <c r="D38" i="5"/>
  <c r="D40" i="5"/>
  <c r="D42" i="5"/>
  <c r="D44" i="5"/>
  <c r="H45" i="5"/>
  <c r="H46" i="5"/>
  <c r="H47" i="5"/>
  <c r="D48" i="5"/>
  <c r="L48" i="5"/>
  <c r="D49" i="5"/>
  <c r="L49" i="5"/>
  <c r="J42" i="5"/>
  <c r="K45" i="5"/>
  <c r="E47" i="5"/>
  <c r="E48" i="5"/>
  <c r="E49" i="5"/>
  <c r="P36" i="5"/>
  <c r="P38" i="5"/>
  <c r="P40" i="5"/>
  <c r="P42" i="5"/>
  <c r="N44" i="5"/>
  <c r="N45" i="5"/>
  <c r="N46" i="5"/>
  <c r="N47" i="5"/>
  <c r="I35" i="5"/>
  <c r="I39" i="5"/>
  <c r="I43" i="5"/>
  <c r="R37" i="5"/>
  <c r="R41" i="5"/>
  <c r="G45" i="5"/>
  <c r="C47" i="5"/>
  <c r="C48" i="5"/>
  <c r="C49" i="5"/>
  <c r="L36" i="5"/>
  <c r="L38" i="5"/>
  <c r="L40" i="5"/>
  <c r="L42" i="5"/>
  <c r="L44" i="5"/>
  <c r="L45" i="5"/>
  <c r="L46" i="5"/>
  <c r="L47" i="5"/>
  <c r="F48" i="5"/>
  <c r="N48" i="5"/>
  <c r="F49" i="5"/>
  <c r="N49" i="5"/>
  <c r="H34" i="5"/>
  <c r="H36" i="5"/>
  <c r="Q35" i="5"/>
  <c r="Q37" i="5"/>
  <c r="Q39" i="5"/>
  <c r="Q41" i="5"/>
  <c r="Q43" i="5"/>
  <c r="R38" i="5"/>
  <c r="R42" i="5"/>
  <c r="O45" i="5"/>
  <c r="G47" i="5"/>
  <c r="G48" i="5"/>
  <c r="G49" i="5"/>
  <c r="D37" i="5"/>
  <c r="D39" i="5"/>
  <c r="D41" i="5"/>
  <c r="D43" i="5"/>
  <c r="P44" i="5"/>
  <c r="P45" i="5"/>
  <c r="P46" i="5"/>
  <c r="P47" i="5"/>
  <c r="H48" i="5"/>
  <c r="P48" i="5"/>
  <c r="H49" i="5"/>
  <c r="P49" i="5"/>
  <c r="D81" i="5"/>
  <c r="R28" i="5" a="1"/>
  <c r="G84" i="5"/>
  <c r="C28" i="5"/>
  <c r="P46" i="6"/>
  <c r="Q50" i="6" s="1"/>
  <c r="X50" i="6" s="1"/>
  <c r="AA50" i="6" s="1"/>
  <c r="P44" i="6"/>
  <c r="P50" i="6" s="1"/>
  <c r="W50" i="6" s="1"/>
  <c r="Z50" i="6" s="1"/>
  <c r="P47" i="6"/>
  <c r="Q51" i="6" s="1"/>
  <c r="X51" i="6" s="1"/>
  <c r="P45" i="6"/>
  <c r="P51" i="6" s="1"/>
  <c r="W51" i="6" s="1"/>
  <c r="Z51" i="6" s="1"/>
  <c r="I31" i="1"/>
  <c r="H31" i="1"/>
  <c r="I32" i="1"/>
  <c r="D100" i="13" l="1"/>
  <c r="D99" i="13"/>
  <c r="D98" i="13"/>
  <c r="D97" i="13"/>
  <c r="G99" i="13"/>
  <c r="G97" i="13"/>
  <c r="E99" i="13"/>
  <c r="E97" i="13"/>
  <c r="F100" i="13"/>
  <c r="F99" i="13"/>
  <c r="F98" i="13"/>
  <c r="F97" i="13"/>
  <c r="G100" i="13"/>
  <c r="G98" i="13"/>
  <c r="E100" i="13"/>
  <c r="E98" i="13"/>
  <c r="F29" i="5"/>
  <c r="E30" i="5"/>
  <c r="C29" i="5"/>
  <c r="D28" i="5"/>
  <c r="F28" i="5"/>
  <c r="F30" i="5"/>
  <c r="F31" i="5"/>
  <c r="W51" i="5" a="1"/>
  <c r="U31" i="5"/>
  <c r="R30" i="5"/>
  <c r="T28" i="5"/>
  <c r="R29" i="5"/>
  <c r="S30" i="5"/>
  <c r="R31" i="5"/>
  <c r="U28" i="5"/>
  <c r="T31" i="5"/>
  <c r="U30" i="5"/>
  <c r="S29" i="5"/>
  <c r="R28" i="5"/>
  <c r="S28" i="5"/>
  <c r="T29" i="5"/>
  <c r="T30" i="5"/>
  <c r="S31" i="5"/>
  <c r="U29" i="5"/>
  <c r="S81" i="5" a="1"/>
  <c r="AA51" i="6"/>
  <c r="Z54" i="6" s="1" a="1"/>
  <c r="T54" i="6" a="1"/>
  <c r="J2" i="6"/>
  <c r="W74" i="5" a="1"/>
  <c r="D102" i="13" l="1" a="1"/>
  <c r="U81" i="5"/>
  <c r="U82" i="5"/>
  <c r="U83" i="5"/>
  <c r="U84" i="5"/>
  <c r="V81" i="5"/>
  <c r="V82" i="5"/>
  <c r="V83" i="5"/>
  <c r="V84" i="5"/>
  <c r="S81" i="5"/>
  <c r="S82" i="5"/>
  <c r="S83" i="5"/>
  <c r="S84" i="5"/>
  <c r="T81" i="5"/>
  <c r="T82" i="5"/>
  <c r="T83" i="5"/>
  <c r="T84" i="5"/>
  <c r="W51" i="5"/>
  <c r="W68" i="5" s="1"/>
  <c r="W62" i="5"/>
  <c r="Y71" i="5" s="1"/>
  <c r="K84" i="5" s="1"/>
  <c r="P84" i="5" s="1"/>
  <c r="W54" i="5"/>
  <c r="W71" i="5" s="1"/>
  <c r="I84" i="5" s="1"/>
  <c r="N84" i="5" s="1"/>
  <c r="W61" i="5"/>
  <c r="Y70" i="5" s="1"/>
  <c r="K83" i="5" s="1"/>
  <c r="P83" i="5" s="1"/>
  <c r="W53" i="5"/>
  <c r="W70" i="5" s="1"/>
  <c r="I83" i="5" s="1"/>
  <c r="N83" i="5" s="1"/>
  <c r="W60" i="5"/>
  <c r="Y69" i="5" s="1"/>
  <c r="K82" i="5" s="1"/>
  <c r="P82" i="5" s="1"/>
  <c r="W52" i="5"/>
  <c r="W69" i="5" s="1"/>
  <c r="I82" i="5" s="1"/>
  <c r="N82" i="5" s="1"/>
  <c r="W59" i="5"/>
  <c r="Y68" i="5" s="1"/>
  <c r="K81" i="5" s="1"/>
  <c r="W66" i="5"/>
  <c r="Z71" i="5" s="1"/>
  <c r="L84" i="5" s="1"/>
  <c r="Q84" i="5" s="1"/>
  <c r="W58" i="5"/>
  <c r="X71" i="5" s="1"/>
  <c r="J84" i="5" s="1"/>
  <c r="O84" i="5" s="1"/>
  <c r="W65" i="5"/>
  <c r="Z70" i="5" s="1"/>
  <c r="L83" i="5" s="1"/>
  <c r="Q83" i="5" s="1"/>
  <c r="W57" i="5"/>
  <c r="X70" i="5" s="1"/>
  <c r="J83" i="5" s="1"/>
  <c r="O83" i="5" s="1"/>
  <c r="W64" i="5"/>
  <c r="Z69" i="5" s="1"/>
  <c r="L82" i="5" s="1"/>
  <c r="Q82" i="5" s="1"/>
  <c r="W56" i="5"/>
  <c r="X69" i="5" s="1"/>
  <c r="J82" i="5" s="1"/>
  <c r="O82" i="5" s="1"/>
  <c r="W63" i="5"/>
  <c r="Z68" i="5" s="1"/>
  <c r="L81" i="5" s="1"/>
  <c r="Q81" i="5" s="1"/>
  <c r="W55" i="5"/>
  <c r="X68" i="5" s="1"/>
  <c r="J81" i="5" s="1"/>
  <c r="O81" i="5" s="1"/>
  <c r="AA54" i="6"/>
  <c r="AA55" i="6"/>
  <c r="Z54" i="6"/>
  <c r="Z55" i="6"/>
  <c r="T54" i="6"/>
  <c r="U55" i="6"/>
  <c r="T55" i="6"/>
  <c r="U54" i="6"/>
  <c r="E105" i="13" l="1"/>
  <c r="E104" i="13"/>
  <c r="E103" i="13"/>
  <c r="E102" i="13"/>
  <c r="F104" i="13"/>
  <c r="F102" i="13"/>
  <c r="D104" i="13"/>
  <c r="D102" i="13"/>
  <c r="G105" i="13"/>
  <c r="G104" i="13"/>
  <c r="G103" i="13"/>
  <c r="G102" i="13"/>
  <c r="F105" i="13"/>
  <c r="F103" i="13"/>
  <c r="D105" i="13"/>
  <c r="D103" i="13"/>
  <c r="P81" i="5"/>
  <c r="I81" i="5"/>
  <c r="W3" i="5"/>
  <c r="W74" i="5"/>
  <c r="A1" i="5" s="1"/>
  <c r="T58" i="6" a="1"/>
  <c r="T58" i="6" s="1"/>
  <c r="U58" i="6"/>
  <c r="D87" i="5" l="1" a="1"/>
  <c r="N81" i="5"/>
  <c r="N87" i="5" s="1" a="1"/>
  <c r="T59" i="6"/>
  <c r="U59" i="6"/>
  <c r="P90" i="5" l="1"/>
  <c r="P89" i="5"/>
  <c r="N89" i="5"/>
  <c r="O89" i="5"/>
  <c r="Q88" i="5"/>
  <c r="Q87" i="5"/>
  <c r="N88" i="5"/>
  <c r="O88" i="5"/>
  <c r="O87" i="5"/>
  <c r="Q90" i="5"/>
  <c r="Q89" i="5"/>
  <c r="N87" i="5"/>
  <c r="P88" i="5"/>
  <c r="P87" i="5"/>
  <c r="N90" i="5"/>
  <c r="O90" i="5"/>
  <c r="G90" i="5"/>
  <c r="E89" i="5"/>
  <c r="F90" i="5"/>
  <c r="F87" i="5"/>
  <c r="F93" i="5" s="1"/>
  <c r="F98" i="5" s="1"/>
  <c r="G87" i="5"/>
  <c r="E88" i="5"/>
  <c r="E94" i="5" s="1"/>
  <c r="E99" i="5" s="1"/>
  <c r="D89" i="5"/>
  <c r="F88" i="5"/>
  <c r="D87" i="5"/>
  <c r="G89" i="5"/>
  <c r="E87" i="5"/>
  <c r="E93" i="5" s="1"/>
  <c r="E98" i="5" s="1"/>
  <c r="F89" i="5"/>
  <c r="F95" i="5" s="1"/>
  <c r="F100" i="5" s="1"/>
  <c r="G88" i="5"/>
  <c r="G94" i="5" s="1"/>
  <c r="G99" i="5" s="1"/>
  <c r="E90" i="5"/>
  <c r="D90" i="5"/>
  <c r="D88" i="5"/>
  <c r="T61" i="6" a="1"/>
  <c r="U62" i="6"/>
  <c r="T62" i="6"/>
  <c r="T61" i="6"/>
  <c r="U61" i="6"/>
  <c r="D94" i="5" l="1"/>
  <c r="D99" i="5" s="1"/>
  <c r="F94" i="5"/>
  <c r="F99" i="5" s="1"/>
  <c r="G96" i="5"/>
  <c r="G101" i="5" s="1"/>
  <c r="E96" i="5"/>
  <c r="E101" i="5" s="1"/>
  <c r="D93" i="5"/>
  <c r="D98" i="5" s="1"/>
  <c r="G93" i="5"/>
  <c r="G98" i="5" s="1"/>
  <c r="E95" i="5"/>
  <c r="E100" i="5" s="1"/>
  <c r="D96" i="5"/>
  <c r="D101" i="5" s="1"/>
  <c r="G95" i="5"/>
  <c r="G100" i="5" s="1"/>
  <c r="D95" i="5"/>
  <c r="D100" i="5" s="1"/>
  <c r="F96" i="5"/>
  <c r="F101" i="5" s="1"/>
</calcChain>
</file>

<file path=xl/comments1.xml><?xml version="1.0" encoding="utf-8"?>
<comments xmlns="http://schemas.openxmlformats.org/spreadsheetml/2006/main">
  <authors>
    <author>Razzle</author>
  </authors>
  <commentList>
    <comment ref="B11" authorId="0" shapeId="0">
      <text>
        <r>
          <rPr>
            <b/>
            <sz val="9"/>
            <color indexed="81"/>
            <rFont val="Tahoma"/>
            <family val="2"/>
          </rPr>
          <t>Razzle:</t>
        </r>
        <r>
          <rPr>
            <sz val="9"/>
            <color indexed="81"/>
            <rFont val="Tahoma"/>
            <family val="2"/>
          </rPr>
          <t xml:space="preserve">
(chi = 1 ==&gt; no thermal photons\phonons)</t>
        </r>
      </text>
    </comment>
  </commentList>
</comments>
</file>

<file path=xl/comments2.xml><?xml version="1.0" encoding="utf-8"?>
<comments xmlns="http://schemas.openxmlformats.org/spreadsheetml/2006/main">
  <authors>
    <author>Razzle</author>
  </authors>
  <commentList>
    <comment ref="B11" authorId="0" shapeId="0">
      <text>
        <r>
          <rPr>
            <b/>
            <sz val="9"/>
            <color indexed="81"/>
            <rFont val="Tahoma"/>
            <family val="2"/>
          </rPr>
          <t>Razzle:</t>
        </r>
        <r>
          <rPr>
            <sz val="9"/>
            <color indexed="81"/>
            <rFont val="Tahoma"/>
            <family val="2"/>
          </rPr>
          <t xml:space="preserve">
(chi = 1 ==&gt; no thermal photons\phonons)</t>
        </r>
      </text>
    </comment>
  </commentList>
</comments>
</file>

<file path=xl/sharedStrings.xml><?xml version="1.0" encoding="utf-8"?>
<sst xmlns="http://schemas.openxmlformats.org/spreadsheetml/2006/main" count="521" uniqueCount="94">
  <si>
    <t>A</t>
  </si>
  <si>
    <t>X</t>
  </si>
  <si>
    <t>B</t>
  </si>
  <si>
    <t>+</t>
  </si>
  <si>
    <t>C</t>
  </si>
  <si>
    <t>=</t>
  </si>
  <si>
    <t>D</t>
  </si>
  <si>
    <t>x_11</t>
  </si>
  <si>
    <t>x_12</t>
  </si>
  <si>
    <t>x_21</t>
  </si>
  <si>
    <t>x_22</t>
  </si>
  <si>
    <t xml:space="preserve"> +</t>
  </si>
  <si>
    <t xml:space="preserve"> =</t>
  </si>
  <si>
    <t xml:space="preserve"> </t>
  </si>
  <si>
    <t>sigma</t>
  </si>
  <si>
    <t>A^T</t>
  </si>
  <si>
    <t>-</t>
  </si>
  <si>
    <t xml:space="preserve"> *</t>
  </si>
  <si>
    <t>mathexchange formula check</t>
  </si>
  <si>
    <t>rearranged our formula to look like mathexchange formula</t>
  </si>
  <si>
    <t>Solving for sigma</t>
  </si>
  <si>
    <t>a</t>
  </si>
  <si>
    <t>b</t>
  </si>
  <si>
    <t>c</t>
  </si>
  <si>
    <t xml:space="preserve">L </t>
  </si>
  <si>
    <t>H</t>
  </si>
  <si>
    <t xml:space="preserve">positive definite matrix by construction using Cholesky decomposition </t>
  </si>
  <si>
    <t xml:space="preserve">A </t>
  </si>
  <si>
    <t>Ω</t>
  </si>
  <si>
    <r>
      <t>L</t>
    </r>
    <r>
      <rPr>
        <sz val="8"/>
        <color theme="1"/>
        <rFont val="Calibri"/>
        <family val="2"/>
        <scheme val="minor"/>
      </rPr>
      <t>11</t>
    </r>
  </si>
  <si>
    <r>
      <t>L</t>
    </r>
    <r>
      <rPr>
        <sz val="8"/>
        <color theme="1"/>
        <rFont val="Calibri"/>
        <family val="2"/>
        <scheme val="minor"/>
      </rPr>
      <t>31</t>
    </r>
  </si>
  <si>
    <r>
      <t>L</t>
    </r>
    <r>
      <rPr>
        <sz val="8"/>
        <color theme="1"/>
        <rFont val="Calibri"/>
        <family val="2"/>
        <scheme val="minor"/>
      </rPr>
      <t>22</t>
    </r>
  </si>
  <si>
    <r>
      <t>L</t>
    </r>
    <r>
      <rPr>
        <sz val="8"/>
        <color theme="1"/>
        <rFont val="Calibri"/>
        <family val="2"/>
        <scheme val="minor"/>
      </rPr>
      <t>21</t>
    </r>
  </si>
  <si>
    <r>
      <t>L</t>
    </r>
    <r>
      <rPr>
        <sz val="8"/>
        <color theme="1"/>
        <rFont val="Calibri"/>
        <family val="2"/>
        <scheme val="minor"/>
      </rPr>
      <t>32</t>
    </r>
  </si>
  <si>
    <r>
      <t>L</t>
    </r>
    <r>
      <rPr>
        <sz val="8"/>
        <color theme="1"/>
        <rFont val="Calibri"/>
        <family val="2"/>
        <scheme val="minor"/>
      </rPr>
      <t>33</t>
    </r>
  </si>
  <si>
    <r>
      <t>L</t>
    </r>
    <r>
      <rPr>
        <sz val="8"/>
        <color theme="1"/>
        <rFont val="Calibri"/>
        <family val="2"/>
        <scheme val="minor"/>
      </rPr>
      <t>41</t>
    </r>
  </si>
  <si>
    <r>
      <t>L</t>
    </r>
    <r>
      <rPr>
        <sz val="8"/>
        <color theme="1"/>
        <rFont val="Calibri"/>
        <family val="2"/>
        <scheme val="minor"/>
      </rPr>
      <t>42</t>
    </r>
  </si>
  <si>
    <r>
      <t>L</t>
    </r>
    <r>
      <rPr>
        <sz val="8"/>
        <color theme="1"/>
        <rFont val="Calibri"/>
        <family val="2"/>
        <scheme val="minor"/>
      </rPr>
      <t>43</t>
    </r>
  </si>
  <si>
    <r>
      <t>L</t>
    </r>
    <r>
      <rPr>
        <sz val="8"/>
        <color theme="1"/>
        <rFont val="Calibri"/>
        <family val="2"/>
        <scheme val="minor"/>
      </rPr>
      <t>44</t>
    </r>
  </si>
  <si>
    <t>L =</t>
  </si>
  <si>
    <r>
      <t>H = L L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</t>
    </r>
  </si>
  <si>
    <t xml:space="preserve">Ω = </t>
  </si>
  <si>
    <t xml:space="preserve">Drift, A = </t>
  </si>
  <si>
    <t>χ</t>
  </si>
  <si>
    <t xml:space="preserve">Diffusion, D = </t>
  </si>
  <si>
    <t>*</t>
  </si>
  <si>
    <r>
      <t>x</t>
    </r>
    <r>
      <rPr>
        <sz val="8"/>
        <color theme="1"/>
        <rFont val="Calibri"/>
        <family val="2"/>
        <scheme val="minor"/>
      </rPr>
      <t>11</t>
    </r>
  </si>
  <si>
    <r>
      <t>x</t>
    </r>
    <r>
      <rPr>
        <sz val="8"/>
        <color theme="1"/>
        <rFont val="Calibri"/>
        <family val="2"/>
        <scheme val="minor"/>
      </rPr>
      <t>12</t>
    </r>
  </si>
  <si>
    <r>
      <t>x</t>
    </r>
    <r>
      <rPr>
        <sz val="8"/>
        <color theme="1"/>
        <rFont val="Calibri"/>
        <family val="2"/>
        <scheme val="minor"/>
      </rPr>
      <t>13</t>
    </r>
  </si>
  <si>
    <r>
      <t>x</t>
    </r>
    <r>
      <rPr>
        <sz val="8"/>
        <color theme="1"/>
        <rFont val="Calibri"/>
        <family val="2"/>
        <scheme val="minor"/>
      </rPr>
      <t>14</t>
    </r>
  </si>
  <si>
    <r>
      <t>x</t>
    </r>
    <r>
      <rPr>
        <sz val="8"/>
        <color theme="1"/>
        <rFont val="Calibri"/>
        <family val="2"/>
        <scheme val="minor"/>
      </rPr>
      <t>21</t>
    </r>
  </si>
  <si>
    <r>
      <t>x</t>
    </r>
    <r>
      <rPr>
        <sz val="8"/>
        <color theme="1"/>
        <rFont val="Calibri"/>
        <family val="2"/>
        <scheme val="minor"/>
      </rPr>
      <t>22</t>
    </r>
  </si>
  <si>
    <r>
      <t>x</t>
    </r>
    <r>
      <rPr>
        <sz val="8"/>
        <color theme="1"/>
        <rFont val="Calibri"/>
        <family val="2"/>
        <scheme val="minor"/>
      </rPr>
      <t>23</t>
    </r>
  </si>
  <si>
    <r>
      <t>x</t>
    </r>
    <r>
      <rPr>
        <sz val="8"/>
        <color theme="1"/>
        <rFont val="Calibri"/>
        <family val="2"/>
        <scheme val="minor"/>
      </rPr>
      <t>24</t>
    </r>
  </si>
  <si>
    <r>
      <t>x</t>
    </r>
    <r>
      <rPr>
        <sz val="8"/>
        <color theme="1"/>
        <rFont val="Calibri"/>
        <family val="2"/>
        <scheme val="minor"/>
      </rPr>
      <t>31</t>
    </r>
  </si>
  <si>
    <r>
      <t>x</t>
    </r>
    <r>
      <rPr>
        <sz val="8"/>
        <color theme="1"/>
        <rFont val="Calibri"/>
        <family val="2"/>
        <scheme val="minor"/>
      </rPr>
      <t>41</t>
    </r>
  </si>
  <si>
    <r>
      <t>x</t>
    </r>
    <r>
      <rPr>
        <sz val="8"/>
        <color theme="1"/>
        <rFont val="Calibri"/>
        <family val="2"/>
        <scheme val="minor"/>
      </rPr>
      <t>32</t>
    </r>
  </si>
  <si>
    <r>
      <t>x</t>
    </r>
    <r>
      <rPr>
        <sz val="8"/>
        <color theme="1"/>
        <rFont val="Calibri"/>
        <family val="2"/>
        <scheme val="minor"/>
      </rPr>
      <t>33</t>
    </r>
  </si>
  <si>
    <r>
      <t>x</t>
    </r>
    <r>
      <rPr>
        <sz val="8"/>
        <color theme="1"/>
        <rFont val="Calibri"/>
        <family val="2"/>
        <scheme val="minor"/>
      </rPr>
      <t>34</t>
    </r>
  </si>
  <si>
    <r>
      <t>x</t>
    </r>
    <r>
      <rPr>
        <sz val="8"/>
        <color theme="1"/>
        <rFont val="Calibri"/>
        <family val="2"/>
        <scheme val="minor"/>
      </rPr>
      <t>42</t>
    </r>
  </si>
  <si>
    <r>
      <t>x</t>
    </r>
    <r>
      <rPr>
        <sz val="8"/>
        <color theme="1"/>
        <rFont val="Calibri"/>
        <family val="2"/>
        <scheme val="minor"/>
      </rPr>
      <t>43</t>
    </r>
  </si>
  <si>
    <r>
      <t>x</t>
    </r>
    <r>
      <rPr>
        <sz val="8"/>
        <color theme="1"/>
        <rFont val="Calibri"/>
        <family val="2"/>
        <scheme val="minor"/>
      </rPr>
      <t>44</t>
    </r>
  </si>
  <si>
    <t xml:space="preserve">Identity = </t>
  </si>
  <si>
    <r>
      <t xml:space="preserve">Choose value of </t>
    </r>
    <r>
      <rPr>
        <b/>
        <sz val="11"/>
        <color theme="1"/>
        <rFont val="Calibri"/>
        <family val="2"/>
      </rPr>
      <t>χ:</t>
    </r>
  </si>
  <si>
    <t xml:space="preserve">Determinant = </t>
  </si>
  <si>
    <t>σ</t>
  </si>
  <si>
    <t>-D</t>
  </si>
  <si>
    <t>(I 'KroneckerProduct' A + A 'KroneckerProduct' I)</t>
  </si>
  <si>
    <r>
      <t>vec(</t>
    </r>
    <r>
      <rPr>
        <sz val="11"/>
        <color theme="1"/>
        <rFont val="Calibri"/>
        <family val="2"/>
      </rPr>
      <t>σ)</t>
    </r>
  </si>
  <si>
    <t>vec(-D)</t>
  </si>
  <si>
    <t xml:space="preserve">σ = </t>
  </si>
  <si>
    <t xml:space="preserve"> -D</t>
  </si>
  <si>
    <t>I</t>
  </si>
  <si>
    <t xml:space="preserve"> A 'KroneckerProduct' I</t>
  </si>
  <si>
    <t>I 'KroneckerProduct' A</t>
  </si>
  <si>
    <t>Solving for σ:</t>
  </si>
  <si>
    <t>I =</t>
  </si>
  <si>
    <t>D = chi * I</t>
  </si>
  <si>
    <t>* I</t>
  </si>
  <si>
    <r>
      <rPr>
        <sz val="11"/>
        <color theme="1"/>
        <rFont val="Calibri"/>
        <family val="2"/>
      </rPr>
      <t>Ω</t>
    </r>
    <r>
      <rPr>
        <sz val="8.8000000000000007"/>
        <color theme="1"/>
        <rFont val="Calibri"/>
        <family val="2"/>
      </rPr>
      <t>*H</t>
    </r>
  </si>
  <si>
    <t>Aσ</t>
  </si>
  <si>
    <t>σA^T</t>
  </si>
  <si>
    <t>chi_1 =</t>
  </si>
  <si>
    <t>chi_2 =</t>
  </si>
  <si>
    <t>kappa_1=</t>
  </si>
  <si>
    <t>kappa_2=</t>
  </si>
  <si>
    <t>g =</t>
  </si>
  <si>
    <t xml:space="preserve">Analytical = </t>
  </si>
  <si>
    <t>Is there a formula with chi, kappa, g that will give you the minimum determinant you could achieve with only this Hamiltonian?</t>
  </si>
  <si>
    <t>(chi1+chi2)^2 / (kappa1+kappa2)^2</t>
  </si>
  <si>
    <t>H =</t>
  </si>
  <si>
    <t>beta =</t>
  </si>
  <si>
    <t>a =</t>
  </si>
  <si>
    <t>(1 + Kappa1*Kappa2/(4*N*N))=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</si>
</sst>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-* #,##0.00_-;\-* #,##0.00_-;_-* &quot;-&quot;??_-;_-@_-"/>
    <numFmt numFmtId="164" formatCode="0.0"/>
    <numFmt numFmtId="165" formatCode="0.0000000"/>
    <numFmt numFmtId="166" formatCode="0.000000"/>
    <numFmt numFmtId="167" formatCode="0.000"/>
    <numFmt numFmtId="168" formatCode="0.0000"/>
    <numFmt numFmtId="169" formatCode="0.00000"/>
    <numFmt numFmtId="170" formatCode="0.00000000"/>
    <numFmt numFmtId="171" formatCode="#,##0.0"/>
    <numFmt numFmtId="172" formatCode="#,##0.0000"/>
    <numFmt numFmtId="173" formatCode="#,##0.000"/>
    <numFmt numFmtId="174" formatCode="0.0E+00"/>
    <numFmt numFmtId="175" formatCode="#,##0.000000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8.8000000000000007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3" borderId="0" applyNumberFormat="0" applyBorder="0" applyAlignment="0" applyProtection="0"/>
    <xf numFmtId="43" fontId="8" fillId="0" borderId="0" applyFont="0" applyFill="0" applyBorder="0" applyAlignment="0" applyProtection="0"/>
    <xf numFmtId="0" fontId="12" fillId="12" borderId="0" applyNumberFormat="0" applyBorder="0" applyAlignment="0" applyProtection="0"/>
  </cellStyleXfs>
  <cellXfs count="7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4" borderId="0" xfId="0" applyFill="1"/>
    <xf numFmtId="0" fontId="1" fillId="3" borderId="0" xfId="1"/>
    <xf numFmtId="164" fontId="1" fillId="3" borderId="0" xfId="1" applyNumberFormat="1"/>
    <xf numFmtId="0" fontId="0" fillId="0" borderId="0" xfId="0" applyAlignment="1">
      <alignment horizontal="right"/>
    </xf>
    <xf numFmtId="0" fontId="0" fillId="0" borderId="0" xfId="0" quotePrefix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5" borderId="0" xfId="0" applyFill="1"/>
    <xf numFmtId="12" fontId="0" fillId="6" borderId="0" xfId="0" applyNumberFormat="1" applyFill="1"/>
    <xf numFmtId="0" fontId="0" fillId="6" borderId="0" xfId="0" applyFont="1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6" borderId="0" xfId="0" applyFont="1" applyFill="1" applyAlignment="1">
      <alignment horizontal="center"/>
    </xf>
    <xf numFmtId="0" fontId="0" fillId="6" borderId="0" xfId="0" applyNumberFormat="1" applyFill="1"/>
    <xf numFmtId="0" fontId="0" fillId="5" borderId="0" xfId="0" applyNumberFormat="1" applyFill="1"/>
    <xf numFmtId="164" fontId="0" fillId="6" borderId="0" xfId="0" applyNumberFormat="1" applyFill="1" applyAlignment="1">
      <alignment horizontal="right"/>
    </xf>
    <xf numFmtId="164" fontId="0" fillId="5" borderId="0" xfId="0" applyNumberFormat="1" applyFill="1" applyAlignment="1">
      <alignment horizontal="right"/>
    </xf>
    <xf numFmtId="2" fontId="0" fillId="0" borderId="0" xfId="0" applyNumberFormat="1"/>
    <xf numFmtId="166" fontId="0" fillId="0" borderId="0" xfId="0" applyNumberFormat="1"/>
    <xf numFmtId="3" fontId="0" fillId="6" borderId="0" xfId="0" applyNumberFormat="1" applyFill="1" applyAlignment="1">
      <alignment horizontal="right"/>
    </xf>
    <xf numFmtId="1" fontId="0" fillId="6" borderId="0" xfId="0" applyNumberFormat="1" applyFill="1" applyAlignment="1">
      <alignment horizontal="right"/>
    </xf>
    <xf numFmtId="0" fontId="0" fillId="8" borderId="0" xfId="0" applyFill="1" applyAlignment="1">
      <alignment horizontal="center"/>
    </xf>
    <xf numFmtId="0" fontId="5" fillId="0" borderId="0" xfId="0" applyFont="1" applyAlignment="1">
      <alignment horizontal="right"/>
    </xf>
    <xf numFmtId="165" fontId="7" fillId="0" borderId="0" xfId="0" applyNumberFormat="1" applyFont="1"/>
    <xf numFmtId="0" fontId="2" fillId="0" borderId="0" xfId="0" applyFont="1" applyAlignment="1">
      <alignment horizontal="right"/>
    </xf>
    <xf numFmtId="0" fontId="0" fillId="10" borderId="0" xfId="0" applyFill="1"/>
    <xf numFmtId="164" fontId="0" fillId="7" borderId="0" xfId="0" applyNumberFormat="1" applyFill="1"/>
    <xf numFmtId="0" fontId="0" fillId="7" borderId="0" xfId="0" applyFill="1" applyAlignment="1">
      <alignment horizontal="right"/>
    </xf>
    <xf numFmtId="43" fontId="0" fillId="0" borderId="0" xfId="2" applyNumberFormat="1" applyFont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quotePrefix="1"/>
    <xf numFmtId="0" fontId="0" fillId="9" borderId="0" xfId="0" applyFill="1"/>
    <xf numFmtId="0" fontId="0" fillId="9" borderId="0" xfId="0" applyFill="1" applyAlignment="1">
      <alignment horizontal="right"/>
    </xf>
    <xf numFmtId="164" fontId="0" fillId="0" borderId="0" xfId="0" applyNumberFormat="1"/>
    <xf numFmtId="1" fontId="0" fillId="0" borderId="0" xfId="0" applyNumberFormat="1"/>
    <xf numFmtId="2" fontId="0" fillId="7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2" fontId="0" fillId="2" borderId="0" xfId="0" applyNumberFormat="1" applyFill="1"/>
    <xf numFmtId="167" fontId="0" fillId="7" borderId="0" xfId="0" applyNumberFormat="1" applyFill="1" applyAlignment="1">
      <alignment horizontal="center"/>
    </xf>
    <xf numFmtId="0" fontId="7" fillId="0" borderId="0" xfId="0" applyFont="1" applyAlignment="1"/>
    <xf numFmtId="168" fontId="0" fillId="6" borderId="0" xfId="0" applyNumberFormat="1" applyFill="1" applyAlignment="1">
      <alignment horizontal="right"/>
    </xf>
    <xf numFmtId="169" fontId="0" fillId="6" borderId="0" xfId="0" applyNumberFormat="1" applyFill="1" applyAlignment="1">
      <alignment horizontal="right"/>
    </xf>
    <xf numFmtId="170" fontId="7" fillId="0" borderId="0" xfId="0" applyNumberFormat="1" applyFont="1"/>
    <xf numFmtId="171" fontId="0" fillId="6" borderId="0" xfId="0" applyNumberFormat="1" applyFill="1" applyAlignment="1">
      <alignment horizontal="right"/>
    </xf>
    <xf numFmtId="167" fontId="0" fillId="0" borderId="0" xfId="0" applyNumberFormat="1"/>
    <xf numFmtId="168" fontId="0" fillId="0" borderId="0" xfId="0" applyNumberFormat="1"/>
    <xf numFmtId="0" fontId="0" fillId="6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4" fontId="0" fillId="0" borderId="0" xfId="0" applyNumberFormat="1"/>
    <xf numFmtId="172" fontId="0" fillId="0" borderId="0" xfId="0" applyNumberFormat="1"/>
    <xf numFmtId="167" fontId="0" fillId="5" borderId="0" xfId="0" applyNumberFormat="1" applyFill="1" applyAlignment="1">
      <alignment horizontal="right"/>
    </xf>
    <xf numFmtId="173" fontId="0" fillId="0" borderId="0" xfId="0" applyNumberFormat="1"/>
    <xf numFmtId="168" fontId="0" fillId="7" borderId="0" xfId="0" applyNumberFormat="1" applyFill="1" applyAlignment="1">
      <alignment horizontal="center"/>
    </xf>
    <xf numFmtId="168" fontId="0" fillId="11" borderId="0" xfId="0" applyNumberFormat="1" applyFill="1" applyAlignment="1">
      <alignment horizontal="center"/>
    </xf>
    <xf numFmtId="174" fontId="0" fillId="0" borderId="0" xfId="0" applyNumberFormat="1"/>
    <xf numFmtId="11" fontId="0" fillId="0" borderId="0" xfId="0" applyNumberFormat="1"/>
    <xf numFmtId="173" fontId="0" fillId="6" borderId="0" xfId="0" applyNumberFormat="1" applyFill="1" applyAlignment="1">
      <alignment horizontal="right"/>
    </xf>
    <xf numFmtId="0" fontId="0" fillId="0" borderId="0" xfId="0" applyNumberFormat="1"/>
    <xf numFmtId="175" fontId="0" fillId="6" borderId="0" xfId="0" applyNumberFormat="1" applyFill="1" applyAlignment="1">
      <alignment horizontal="right"/>
    </xf>
    <xf numFmtId="166" fontId="0" fillId="5" borderId="0" xfId="0" applyNumberFormat="1" applyFill="1" applyAlignment="1">
      <alignment horizontal="right"/>
    </xf>
    <xf numFmtId="169" fontId="0" fillId="0" borderId="0" xfId="0" applyNumberFormat="1"/>
    <xf numFmtId="166" fontId="12" fillId="12" borderId="0" xfId="3" applyNumberFormat="1"/>
    <xf numFmtId="0" fontId="12" fillId="12" borderId="0" xfId="3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3" fillId="0" borderId="0" xfId="0" applyFont="1"/>
    <xf numFmtId="0" fontId="0" fillId="0" borderId="0" xfId="0" quotePrefix="1" applyAlignment="1">
      <alignment horizontal="right"/>
    </xf>
    <xf numFmtId="169" fontId="12" fillId="12" borderId="0" xfId="3" applyNumberFormat="1"/>
  </cellXfs>
  <cellStyles count="4">
    <cellStyle name="Comma" xfId="2" builtinId="3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198120</xdr:colOff>
      <xdr:row>26</xdr:row>
      <xdr:rowOff>121920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F846BC5-ABD7-4E22-900E-CB6F4E039794}"/>
            </a:ext>
          </a:extLst>
        </xdr:cNvPr>
        <xdr:cNvSpPr txBox="1"/>
      </xdr:nvSpPr>
      <xdr:spPr>
        <a:xfrm>
          <a:off x="6758940" y="48996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15</xdr:col>
      <xdr:colOff>198120</xdr:colOff>
      <xdr:row>79</xdr:row>
      <xdr:rowOff>121920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BCA770F-1484-4C28-B076-71CF8E82860B}"/>
            </a:ext>
          </a:extLst>
        </xdr:cNvPr>
        <xdr:cNvSpPr txBox="1"/>
      </xdr:nvSpPr>
      <xdr:spPr>
        <a:xfrm>
          <a:off x="8665845" y="485584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198120</xdr:colOff>
      <xdr:row>30</xdr:row>
      <xdr:rowOff>121920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ADC24C-D63B-4448-997A-0DBAE1602AF4}"/>
            </a:ext>
          </a:extLst>
        </xdr:cNvPr>
        <xdr:cNvSpPr txBox="1"/>
      </xdr:nvSpPr>
      <xdr:spPr>
        <a:xfrm>
          <a:off x="8641080" y="48996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15</xdr:col>
      <xdr:colOff>198120</xdr:colOff>
      <xdr:row>83</xdr:row>
      <xdr:rowOff>121920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2E86CC8-5F0E-405A-AD50-9A67BC741B44}"/>
            </a:ext>
          </a:extLst>
        </xdr:cNvPr>
        <xdr:cNvSpPr txBox="1"/>
      </xdr:nvSpPr>
      <xdr:spPr>
        <a:xfrm>
          <a:off x="9197340" y="1459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198120</xdr:colOff>
      <xdr:row>30</xdr:row>
      <xdr:rowOff>121920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37BA8-4411-4CEC-B86C-3FA646635D57}"/>
            </a:ext>
          </a:extLst>
        </xdr:cNvPr>
        <xdr:cNvSpPr txBox="1"/>
      </xdr:nvSpPr>
      <xdr:spPr>
        <a:xfrm>
          <a:off x="8641080" y="56311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15</xdr:col>
      <xdr:colOff>198120</xdr:colOff>
      <xdr:row>83</xdr:row>
      <xdr:rowOff>121920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0BB1C70-658C-41D5-AD61-86E22CB8B534}"/>
            </a:ext>
          </a:extLst>
        </xdr:cNvPr>
        <xdr:cNvSpPr txBox="1"/>
      </xdr:nvSpPr>
      <xdr:spPr>
        <a:xfrm>
          <a:off x="9197340" y="1532382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4"/>
  <sheetViews>
    <sheetView workbookViewId="0">
      <selection activeCell="L15" sqref="L15"/>
    </sheetView>
  </sheetViews>
  <sheetFormatPr defaultRowHeight="14.4" x14ac:dyDescent="0.3"/>
  <cols>
    <col min="2" max="18" width="4.77734375" customWidth="1"/>
  </cols>
  <sheetData>
    <row r="1" spans="1:18" x14ac:dyDescent="0.3">
      <c r="A1" t="s">
        <v>18</v>
      </c>
    </row>
    <row r="2" spans="1:18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1</v>
      </c>
      <c r="H2" t="s">
        <v>5</v>
      </c>
      <c r="I2" t="s">
        <v>6</v>
      </c>
    </row>
    <row r="4" spans="1:18" x14ac:dyDescent="0.3">
      <c r="B4" s="1">
        <v>1</v>
      </c>
      <c r="C4" s="1">
        <v>2</v>
      </c>
      <c r="E4" s="1" t="s">
        <v>7</v>
      </c>
      <c r="F4" s="1" t="s">
        <v>8</v>
      </c>
      <c r="H4" s="1">
        <v>3</v>
      </c>
      <c r="I4" s="1">
        <v>4</v>
      </c>
      <c r="J4" s="2" t="s">
        <v>11</v>
      </c>
      <c r="K4" s="1">
        <v>5</v>
      </c>
      <c r="L4" s="1">
        <v>6</v>
      </c>
      <c r="N4" s="1" t="str">
        <f t="shared" ref="N4:O5" si="0">E4</f>
        <v>x_11</v>
      </c>
      <c r="O4" s="1" t="str">
        <f t="shared" si="0"/>
        <v>x_12</v>
      </c>
      <c r="P4" s="2" t="s">
        <v>12</v>
      </c>
      <c r="Q4" s="1">
        <v>7</v>
      </c>
      <c r="R4" s="1">
        <v>8</v>
      </c>
    </row>
    <row r="5" spans="1:18" x14ac:dyDescent="0.3">
      <c r="B5" s="1">
        <v>3</v>
      </c>
      <c r="C5" s="1">
        <v>4</v>
      </c>
      <c r="E5" s="1" t="s">
        <v>9</v>
      </c>
      <c r="F5" s="1" t="s">
        <v>10</v>
      </c>
      <c r="H5" s="1">
        <v>5</v>
      </c>
      <c r="I5" s="1">
        <v>6</v>
      </c>
      <c r="K5" s="1">
        <v>7</v>
      </c>
      <c r="L5" s="1">
        <v>8</v>
      </c>
      <c r="N5" s="1" t="str">
        <f t="shared" si="0"/>
        <v>x_21</v>
      </c>
      <c r="O5" s="1" t="str">
        <f t="shared" si="0"/>
        <v>x_22</v>
      </c>
      <c r="Q5" s="1">
        <v>9</v>
      </c>
      <c r="R5" s="1">
        <v>10</v>
      </c>
    </row>
    <row r="9" spans="1:18" x14ac:dyDescent="0.3">
      <c r="B9" s="1">
        <f t="array" ref="B9:C10">$B$4:$C$5 * $H$4</f>
        <v>3</v>
      </c>
      <c r="C9" s="1">
        <v>6</v>
      </c>
      <c r="D9" s="1">
        <f t="array" ref="D9:E10">$B$4:$C$5 * $H$5</f>
        <v>5</v>
      </c>
      <c r="E9" s="1">
        <v>10</v>
      </c>
      <c r="F9" s="2" t="s">
        <v>11</v>
      </c>
      <c r="G9" s="1">
        <f t="shared" ref="G9:H10" si="1">K4</f>
        <v>5</v>
      </c>
      <c r="H9" s="1">
        <f t="shared" si="1"/>
        <v>6</v>
      </c>
      <c r="I9" s="1">
        <v>0</v>
      </c>
      <c r="J9" s="1">
        <v>0</v>
      </c>
      <c r="L9" s="1" t="str">
        <f t="shared" ref="L9:L10" si="2">E4</f>
        <v>x_11</v>
      </c>
      <c r="Q9" s="1">
        <f t="shared" ref="Q9:Q10" si="3">Q4</f>
        <v>7</v>
      </c>
    </row>
    <row r="10" spans="1:18" x14ac:dyDescent="0.3">
      <c r="B10" s="1">
        <v>9</v>
      </c>
      <c r="C10" s="1">
        <v>12</v>
      </c>
      <c r="D10" s="1">
        <v>15</v>
      </c>
      <c r="E10" s="1">
        <v>20</v>
      </c>
      <c r="G10" s="1">
        <f t="shared" si="1"/>
        <v>7</v>
      </c>
      <c r="H10" s="1">
        <f t="shared" si="1"/>
        <v>8</v>
      </c>
      <c r="I10" s="1">
        <v>0</v>
      </c>
      <c r="J10" s="1">
        <v>0</v>
      </c>
      <c r="L10" s="1" t="str">
        <f t="shared" si="2"/>
        <v>x_21</v>
      </c>
      <c r="Q10" s="1">
        <f t="shared" si="3"/>
        <v>9</v>
      </c>
    </row>
    <row r="11" spans="1:18" x14ac:dyDescent="0.3">
      <c r="B11" s="1">
        <f t="array" ref="B11:C12">$B$4:$C$5 * $I$4</f>
        <v>4</v>
      </c>
      <c r="C11" s="1">
        <v>8</v>
      </c>
      <c r="D11" s="1">
        <f t="array" ref="D11:E12">$B$4:$C$5 * $I$5</f>
        <v>6</v>
      </c>
      <c r="E11" s="1">
        <v>12</v>
      </c>
      <c r="G11" s="1">
        <v>0</v>
      </c>
      <c r="H11" s="1">
        <v>0</v>
      </c>
      <c r="I11" s="1">
        <f t="shared" ref="I11:J12" si="4">K4</f>
        <v>5</v>
      </c>
      <c r="J11" s="1">
        <f t="shared" si="4"/>
        <v>6</v>
      </c>
      <c r="L11" s="1" t="str">
        <f t="shared" ref="L11:L12" si="5">F4</f>
        <v>x_12</v>
      </c>
      <c r="Q11" s="1">
        <f t="shared" ref="Q11:Q12" si="6">R4</f>
        <v>8</v>
      </c>
    </row>
    <row r="12" spans="1:18" x14ac:dyDescent="0.3">
      <c r="B12" s="1">
        <v>12</v>
      </c>
      <c r="C12" s="1">
        <v>16</v>
      </c>
      <c r="D12" s="1">
        <v>18</v>
      </c>
      <c r="E12" s="1">
        <v>24</v>
      </c>
      <c r="G12" s="1">
        <v>0</v>
      </c>
      <c r="H12" s="1">
        <v>0</v>
      </c>
      <c r="I12" s="1">
        <f t="shared" si="4"/>
        <v>7</v>
      </c>
      <c r="J12" s="1">
        <f t="shared" si="4"/>
        <v>8</v>
      </c>
      <c r="L12" s="1" t="str">
        <f t="shared" si="5"/>
        <v>x_22</v>
      </c>
      <c r="Q12" s="1">
        <f t="shared" si="6"/>
        <v>10</v>
      </c>
    </row>
    <row r="15" spans="1:18" x14ac:dyDescent="0.3">
      <c r="G15" s="1">
        <f t="array" ref="G15:J18">B9:E12 + G9:J12</f>
        <v>8</v>
      </c>
      <c r="H15" s="1">
        <v>12</v>
      </c>
      <c r="I15" s="1">
        <v>5</v>
      </c>
      <c r="J15" s="1">
        <v>10</v>
      </c>
      <c r="R15" t="s">
        <v>13</v>
      </c>
    </row>
    <row r="16" spans="1:18" x14ac:dyDescent="0.3">
      <c r="G16" s="1">
        <v>16</v>
      </c>
      <c r="H16" s="1">
        <v>20</v>
      </c>
      <c r="I16" s="1">
        <v>15</v>
      </c>
      <c r="J16" s="1">
        <v>20</v>
      </c>
    </row>
    <row r="17" spans="2:18" x14ac:dyDescent="0.3">
      <c r="G17" s="1">
        <v>4</v>
      </c>
      <c r="H17" s="1">
        <v>8</v>
      </c>
      <c r="I17" s="1">
        <v>11</v>
      </c>
      <c r="J17" s="1">
        <v>18</v>
      </c>
    </row>
    <row r="18" spans="2:18" x14ac:dyDescent="0.3">
      <c r="G18" s="1">
        <v>12</v>
      </c>
      <c r="H18" s="1">
        <v>16</v>
      </c>
      <c r="I18" s="1">
        <v>25</v>
      </c>
      <c r="J18" s="1">
        <v>32</v>
      </c>
    </row>
    <row r="21" spans="2:18" x14ac:dyDescent="0.3">
      <c r="L21" s="1" t="str">
        <f t="shared" ref="L21:L24" si="7">L9</f>
        <v>x_11</v>
      </c>
      <c r="M21" s="2" t="s">
        <v>12</v>
      </c>
      <c r="N21" s="1">
        <f t="array" ref="N21:N24">MMULT(  MINVERSE(G15:J18),Q9:Q12)</f>
        <v>0.25000000000001066</v>
      </c>
    </row>
    <row r="22" spans="2:18" x14ac:dyDescent="0.3">
      <c r="L22" s="1" t="str">
        <f t="shared" si="7"/>
        <v>x_21</v>
      </c>
      <c r="N22" s="1">
        <v>-7.1054273576010019E-15</v>
      </c>
    </row>
    <row r="23" spans="2:18" x14ac:dyDescent="0.3">
      <c r="L23" s="1" t="str">
        <f t="shared" si="7"/>
        <v>x_12</v>
      </c>
      <c r="N23" s="1">
        <v>-1</v>
      </c>
    </row>
    <row r="24" spans="2:18" x14ac:dyDescent="0.3">
      <c r="L24" s="1" t="str">
        <f t="shared" si="7"/>
        <v>x_22</v>
      </c>
      <c r="N24" s="1">
        <v>1</v>
      </c>
    </row>
    <row r="27" spans="2:18" x14ac:dyDescent="0.3">
      <c r="B27" s="1">
        <v>1</v>
      </c>
      <c r="C27" s="1">
        <v>2</v>
      </c>
      <c r="E27" s="1">
        <f t="shared" ref="E27:E28" si="8">N21</f>
        <v>0.25000000000001066</v>
      </c>
      <c r="F27" s="1">
        <f t="shared" ref="F27:F28" si="9">N23</f>
        <v>-1</v>
      </c>
      <c r="H27" s="1">
        <v>3</v>
      </c>
      <c r="I27" s="1">
        <v>4</v>
      </c>
      <c r="J27" t="s">
        <v>11</v>
      </c>
      <c r="K27" s="1">
        <v>5</v>
      </c>
      <c r="L27" s="1">
        <v>6</v>
      </c>
      <c r="N27" s="1">
        <f t="shared" ref="N27:N28" si="10">E27</f>
        <v>0.25000000000001066</v>
      </c>
      <c r="O27" s="1">
        <f t="shared" ref="O27:O28" si="11">F27</f>
        <v>-1</v>
      </c>
      <c r="P27" t="s">
        <v>12</v>
      </c>
      <c r="Q27" s="1">
        <v>7</v>
      </c>
      <c r="R27" s="1">
        <v>8</v>
      </c>
    </row>
    <row r="28" spans="2:18" x14ac:dyDescent="0.3">
      <c r="B28" s="1">
        <v>3</v>
      </c>
      <c r="C28" s="1">
        <v>4</v>
      </c>
      <c r="E28" s="1">
        <f t="shared" si="8"/>
        <v>-7.1054273576010019E-15</v>
      </c>
      <c r="F28" s="1">
        <f t="shared" si="9"/>
        <v>1</v>
      </c>
      <c r="H28" s="1">
        <v>5</v>
      </c>
      <c r="I28" s="1">
        <v>6</v>
      </c>
      <c r="K28" s="1">
        <v>7</v>
      </c>
      <c r="L28" s="1">
        <v>8</v>
      </c>
      <c r="N28" s="1">
        <f t="shared" si="10"/>
        <v>-7.1054273576010019E-15</v>
      </c>
      <c r="O28" s="1">
        <f t="shared" si="11"/>
        <v>1</v>
      </c>
      <c r="Q28" s="1">
        <v>9</v>
      </c>
      <c r="R28" s="1">
        <v>10</v>
      </c>
    </row>
    <row r="31" spans="2:18" x14ac:dyDescent="0.3">
      <c r="H31">
        <f t="array" ref="H31:I32">MMULT(B27:C28, MMULT(E27:F28,H27:I28)) + MMULT(K27:L28,N27:O28)</f>
        <v>7</v>
      </c>
      <c r="I31">
        <v>7.9999999999999858</v>
      </c>
    </row>
    <row r="32" spans="2:18" x14ac:dyDescent="0.3">
      <c r="H32">
        <v>9.0000000000000284</v>
      </c>
      <c r="I32">
        <v>10.000000000000014</v>
      </c>
    </row>
    <row r="33" spans="5:5" x14ac:dyDescent="0.3">
      <c r="E33">
        <f>E27*F28 - F27*E28</f>
        <v>0.25000000000000355</v>
      </c>
    </row>
    <row r="34" spans="5:5" x14ac:dyDescent="0.3">
      <c r="E34">
        <f>MDETERM(E27:F28)</f>
        <v>0.25000000000000355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1"/>
  <sheetViews>
    <sheetView workbookViewId="0">
      <selection activeCell="L15" sqref="L15"/>
    </sheetView>
  </sheetViews>
  <sheetFormatPr defaultRowHeight="14.4" x14ac:dyDescent="0.3"/>
  <cols>
    <col min="2" max="16" width="5.77734375" customWidth="1"/>
  </cols>
  <sheetData>
    <row r="1" spans="1:16" x14ac:dyDescent="0.3">
      <c r="A1" t="s">
        <v>19</v>
      </c>
    </row>
    <row r="2" spans="1:16" x14ac:dyDescent="0.3">
      <c r="B2" t="s">
        <v>0</v>
      </c>
      <c r="C2" t="s">
        <v>14</v>
      </c>
      <c r="D2" t="s">
        <v>3</v>
      </c>
      <c r="E2" t="s">
        <v>14</v>
      </c>
      <c r="F2" t="s">
        <v>15</v>
      </c>
      <c r="G2" t="s">
        <v>5</v>
      </c>
      <c r="H2" t="s">
        <v>16</v>
      </c>
      <c r="I2" t="s">
        <v>6</v>
      </c>
    </row>
    <row r="4" spans="1:16" x14ac:dyDescent="0.3">
      <c r="B4" s="1">
        <v>1</v>
      </c>
      <c r="C4" s="1">
        <v>2</v>
      </c>
      <c r="D4" t="s">
        <v>17</v>
      </c>
      <c r="E4" s="1" t="s">
        <v>7</v>
      </c>
      <c r="F4" s="1" t="s">
        <v>8</v>
      </c>
      <c r="G4" s="2" t="s">
        <v>3</v>
      </c>
      <c r="H4" s="1" t="str">
        <f t="shared" ref="H4:I5" si="0">E4</f>
        <v>x_11</v>
      </c>
      <c r="I4" s="1" t="str">
        <f t="shared" si="0"/>
        <v>x_12</v>
      </c>
      <c r="J4" s="2" t="s">
        <v>17</v>
      </c>
      <c r="K4" s="1">
        <f t="array" ref="K4:L5">TRANSPOSE(B4:C5)</f>
        <v>1</v>
      </c>
      <c r="L4" s="1">
        <v>3</v>
      </c>
      <c r="N4" s="2" t="s">
        <v>12</v>
      </c>
      <c r="O4" s="1">
        <v>7</v>
      </c>
      <c r="P4" s="1">
        <v>8</v>
      </c>
    </row>
    <row r="5" spans="1:16" x14ac:dyDescent="0.3">
      <c r="B5" s="1">
        <v>3</v>
      </c>
      <c r="C5" s="1">
        <v>4</v>
      </c>
      <c r="E5" s="1" t="s">
        <v>9</v>
      </c>
      <c r="F5" s="1" t="s">
        <v>10</v>
      </c>
      <c r="H5" s="1" t="str">
        <f t="shared" si="0"/>
        <v>x_21</v>
      </c>
      <c r="I5" s="1" t="str">
        <f t="shared" si="0"/>
        <v>x_22</v>
      </c>
      <c r="K5" s="1">
        <v>2</v>
      </c>
      <c r="L5" s="1">
        <v>4</v>
      </c>
      <c r="O5" s="1">
        <v>9</v>
      </c>
      <c r="P5" s="1">
        <v>10</v>
      </c>
    </row>
    <row r="7" spans="1:16" x14ac:dyDescent="0.3">
      <c r="B7">
        <f t="array" ref="B7:C8">MINVERSE(B4:C5)</f>
        <v>-1.9999999999999998</v>
      </c>
      <c r="C7">
        <v>0.99999999999999989</v>
      </c>
      <c r="O7">
        <f t="array" ref="O7:P8">MMULT(B7:C8,O4:P5)</f>
        <v>-5</v>
      </c>
      <c r="P7">
        <v>-6</v>
      </c>
    </row>
    <row r="8" spans="1:16" x14ac:dyDescent="0.3">
      <c r="B8">
        <v>1.4999999999999998</v>
      </c>
      <c r="C8">
        <v>-0.49999999999999989</v>
      </c>
      <c r="O8">
        <v>5.9999999999999991</v>
      </c>
      <c r="P8">
        <v>6.9999999999999991</v>
      </c>
    </row>
    <row r="10" spans="1:16" x14ac:dyDescent="0.3">
      <c r="B10">
        <v>1</v>
      </c>
      <c r="C10">
        <v>0</v>
      </c>
      <c r="D10">
        <v>0</v>
      </c>
      <c r="E10">
        <v>0</v>
      </c>
      <c r="F10" s="2" t="s">
        <v>3</v>
      </c>
      <c r="G10">
        <f t="array" ref="G10:H11">$B$4 * $B$7:$C$8</f>
        <v>-1.9999999999999998</v>
      </c>
      <c r="H10">
        <v>0.99999999999999989</v>
      </c>
      <c r="I10">
        <f t="array" ref="I10:J11">$C$4 * $B$7:$C$8</f>
        <v>-3.9999999999999996</v>
      </c>
      <c r="J10">
        <v>1.9999999999999998</v>
      </c>
      <c r="L10" t="str">
        <f>E4</f>
        <v>x_11</v>
      </c>
      <c r="N10" t="s">
        <v>5</v>
      </c>
      <c r="O10">
        <f>O7</f>
        <v>-5</v>
      </c>
    </row>
    <row r="11" spans="1:16" x14ac:dyDescent="0.3">
      <c r="B11">
        <v>0</v>
      </c>
      <c r="C11">
        <v>1</v>
      </c>
      <c r="D11">
        <v>0</v>
      </c>
      <c r="E11">
        <v>0</v>
      </c>
      <c r="G11">
        <v>1.4999999999999998</v>
      </c>
      <c r="H11">
        <v>-0.49999999999999989</v>
      </c>
      <c r="I11">
        <v>2.9999999999999996</v>
      </c>
      <c r="J11">
        <v>-0.99999999999999978</v>
      </c>
      <c r="L11" t="str">
        <f>E5</f>
        <v>x_21</v>
      </c>
      <c r="O11">
        <f>O8</f>
        <v>5.9999999999999991</v>
      </c>
    </row>
    <row r="12" spans="1:16" x14ac:dyDescent="0.3">
      <c r="B12">
        <v>0</v>
      </c>
      <c r="C12">
        <v>0</v>
      </c>
      <c r="D12">
        <v>1</v>
      </c>
      <c r="E12">
        <v>0</v>
      </c>
      <c r="G12">
        <f t="array" ref="G12:H13">$B$5 * $B$7:$C$8</f>
        <v>-5.9999999999999991</v>
      </c>
      <c r="H12">
        <v>2.9999999999999996</v>
      </c>
      <c r="I12">
        <f t="array" ref="I12:J13">$C$5 * $B$7:$C$8</f>
        <v>-7.9999999999999991</v>
      </c>
      <c r="J12">
        <v>3.9999999999999996</v>
      </c>
      <c r="L12" t="str">
        <f>I4</f>
        <v>x_12</v>
      </c>
      <c r="O12">
        <f>P7</f>
        <v>-6</v>
      </c>
    </row>
    <row r="13" spans="1:16" x14ac:dyDescent="0.3">
      <c r="B13">
        <v>0</v>
      </c>
      <c r="C13">
        <v>0</v>
      </c>
      <c r="D13">
        <v>0</v>
      </c>
      <c r="E13">
        <v>1</v>
      </c>
      <c r="G13">
        <v>4.4999999999999991</v>
      </c>
      <c r="H13">
        <v>-1.4999999999999996</v>
      </c>
      <c r="I13">
        <v>5.9999999999999991</v>
      </c>
      <c r="J13">
        <v>-1.9999999999999996</v>
      </c>
      <c r="L13" t="str">
        <f>I5</f>
        <v>x_22</v>
      </c>
      <c r="O13">
        <f>P8</f>
        <v>6.9999999999999991</v>
      </c>
    </row>
    <row r="15" spans="1:16" x14ac:dyDescent="0.3">
      <c r="G15">
        <f t="shared" ref="G15:J18" si="1">B10+G10</f>
        <v>-0.99999999999999978</v>
      </c>
      <c r="H15">
        <f t="shared" si="1"/>
        <v>0.99999999999999989</v>
      </c>
      <c r="I15">
        <f t="shared" si="1"/>
        <v>-3.9999999999999996</v>
      </c>
      <c r="J15">
        <f t="shared" si="1"/>
        <v>1.9999999999999998</v>
      </c>
      <c r="L15" t="str">
        <f t="shared" ref="L15:O18" si="2">L10</f>
        <v>x_11</v>
      </c>
      <c r="N15" t="str">
        <f t="shared" si="2"/>
        <v>=</v>
      </c>
      <c r="O15">
        <f t="shared" si="2"/>
        <v>-5</v>
      </c>
    </row>
    <row r="16" spans="1:16" x14ac:dyDescent="0.3">
      <c r="G16">
        <f t="shared" si="1"/>
        <v>1.4999999999999998</v>
      </c>
      <c r="H16">
        <f t="shared" si="1"/>
        <v>0.50000000000000011</v>
      </c>
      <c r="I16">
        <f t="shared" si="1"/>
        <v>2.9999999999999996</v>
      </c>
      <c r="J16">
        <f t="shared" si="1"/>
        <v>-0.99999999999999978</v>
      </c>
      <c r="L16" t="str">
        <f t="shared" si="2"/>
        <v>x_21</v>
      </c>
      <c r="O16">
        <f t="shared" si="2"/>
        <v>5.9999999999999991</v>
      </c>
    </row>
    <row r="17" spans="2:16" x14ac:dyDescent="0.3">
      <c r="G17">
        <f t="shared" si="1"/>
        <v>-5.9999999999999991</v>
      </c>
      <c r="H17">
        <f t="shared" si="1"/>
        <v>2.9999999999999996</v>
      </c>
      <c r="I17">
        <f t="shared" si="1"/>
        <v>-6.9999999999999991</v>
      </c>
      <c r="J17">
        <f t="shared" si="1"/>
        <v>3.9999999999999996</v>
      </c>
      <c r="L17" t="str">
        <f t="shared" si="2"/>
        <v>x_12</v>
      </c>
      <c r="O17">
        <f t="shared" si="2"/>
        <v>-6</v>
      </c>
    </row>
    <row r="18" spans="2:16" x14ac:dyDescent="0.3">
      <c r="G18">
        <f t="shared" si="1"/>
        <v>4.4999999999999991</v>
      </c>
      <c r="H18">
        <f t="shared" si="1"/>
        <v>-1.4999999999999996</v>
      </c>
      <c r="I18">
        <f t="shared" si="1"/>
        <v>5.9999999999999991</v>
      </c>
      <c r="J18">
        <f t="shared" si="1"/>
        <v>-0.99999999999999956</v>
      </c>
      <c r="L18" t="str">
        <f t="shared" si="2"/>
        <v>x_22</v>
      </c>
      <c r="O18">
        <f t="shared" si="2"/>
        <v>6.9999999999999991</v>
      </c>
    </row>
    <row r="21" spans="2:16" x14ac:dyDescent="0.3">
      <c r="L21" t="str">
        <f t="shared" ref="L21:N24" si="3">L15</f>
        <v>x_11</v>
      </c>
      <c r="N21" t="str">
        <f t="shared" si="3"/>
        <v>=</v>
      </c>
      <c r="O21">
        <f t="array" ref="O21:O24">MMULT(MINVERSE(G15:J18),O15:O18)</f>
        <v>-0.10000000000000013</v>
      </c>
    </row>
    <row r="22" spans="2:16" x14ac:dyDescent="0.3">
      <c r="L22" t="str">
        <f t="shared" si="3"/>
        <v>x_21</v>
      </c>
      <c r="O22">
        <v>1.9</v>
      </c>
    </row>
    <row r="23" spans="2:16" x14ac:dyDescent="0.3">
      <c r="L23" t="str">
        <f t="shared" si="3"/>
        <v>x_12</v>
      </c>
      <c r="O23">
        <v>1.7</v>
      </c>
    </row>
    <row r="24" spans="2:16" x14ac:dyDescent="0.3">
      <c r="L24" t="str">
        <f t="shared" si="3"/>
        <v>x_22</v>
      </c>
      <c r="O24">
        <v>-0.10000000000000009</v>
      </c>
    </row>
    <row r="26" spans="2:16" x14ac:dyDescent="0.3">
      <c r="B26" s="1">
        <v>1</v>
      </c>
      <c r="C26" s="1">
        <v>2</v>
      </c>
      <c r="E26" s="1">
        <f>O21</f>
        <v>-0.10000000000000013</v>
      </c>
      <c r="F26" s="1">
        <f>O23</f>
        <v>1.7</v>
      </c>
      <c r="G26" s="2" t="s">
        <v>3</v>
      </c>
      <c r="H26" s="1">
        <f t="shared" ref="H26:H27" si="4">E26</f>
        <v>-0.10000000000000013</v>
      </c>
      <c r="I26" s="1">
        <f t="shared" ref="I26:I27" si="5">F26</f>
        <v>1.7</v>
      </c>
      <c r="J26" s="2"/>
      <c r="K26" s="1">
        <f t="array" ref="K26:L27">TRANSPOSE(B26:C27)</f>
        <v>1</v>
      </c>
      <c r="L26" s="1">
        <v>3</v>
      </c>
      <c r="N26" s="2" t="s">
        <v>12</v>
      </c>
      <c r="O26" s="1">
        <v>7</v>
      </c>
      <c r="P26" s="1">
        <v>8</v>
      </c>
    </row>
    <row r="27" spans="2:16" x14ac:dyDescent="0.3">
      <c r="B27" s="1">
        <v>3</v>
      </c>
      <c r="C27" s="1">
        <v>4</v>
      </c>
      <c r="E27" s="1">
        <f>O22</f>
        <v>1.9</v>
      </c>
      <c r="F27" s="1">
        <f>O24</f>
        <v>-0.10000000000000009</v>
      </c>
      <c r="H27" s="1">
        <f t="shared" si="4"/>
        <v>1.9</v>
      </c>
      <c r="I27" s="1">
        <f t="shared" si="5"/>
        <v>-0.10000000000000009</v>
      </c>
      <c r="K27" s="1">
        <v>2</v>
      </c>
      <c r="L27" s="1">
        <v>4</v>
      </c>
      <c r="O27" s="1">
        <v>9</v>
      </c>
      <c r="P27" s="1">
        <v>10</v>
      </c>
    </row>
    <row r="29" spans="2:16" x14ac:dyDescent="0.3">
      <c r="N29" t="s">
        <v>5</v>
      </c>
      <c r="O29">
        <f t="array" ref="O29:P30">MMULT(B26:C27,E26:F27)+MMULT(H26:I27,K26:L27)</f>
        <v>7</v>
      </c>
      <c r="P29">
        <v>7.9999999999999991</v>
      </c>
    </row>
    <row r="30" spans="2:16" x14ac:dyDescent="0.3">
      <c r="O30">
        <v>8.9999999999999982</v>
      </c>
      <c r="P30">
        <v>9.9999999999999982</v>
      </c>
    </row>
    <row r="31" spans="2:16" x14ac:dyDescent="0.3">
      <c r="E31">
        <f t="array" ref="E31">MDETERM(E26:F27)</f>
        <v>-3.2199999999999998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7"/>
  <sheetViews>
    <sheetView topLeftCell="A19" workbookViewId="0">
      <selection activeCell="L4" sqref="L4"/>
    </sheetView>
  </sheetViews>
  <sheetFormatPr defaultRowHeight="14.4" x14ac:dyDescent="0.3"/>
  <cols>
    <col min="2" max="14" width="5.5546875" customWidth="1"/>
    <col min="15" max="15" width="8.21875" bestFit="1" customWidth="1"/>
    <col min="16" max="16" width="5.5546875" customWidth="1"/>
  </cols>
  <sheetData>
    <row r="1" spans="1:16" x14ac:dyDescent="0.3">
      <c r="A1" t="s">
        <v>20</v>
      </c>
    </row>
    <row r="3" spans="1:16" x14ac:dyDescent="0.3">
      <c r="B3" s="68" t="s">
        <v>0</v>
      </c>
      <c r="C3" s="68"/>
      <c r="D3" s="2" t="s">
        <v>17</v>
      </c>
      <c r="E3" s="68" t="s">
        <v>65</v>
      </c>
      <c r="F3" s="68"/>
      <c r="G3" s="2" t="s">
        <v>3</v>
      </c>
      <c r="H3" s="68" t="s">
        <v>65</v>
      </c>
      <c r="I3" s="68"/>
      <c r="J3" s="2" t="s">
        <v>17</v>
      </c>
      <c r="K3" s="68" t="s">
        <v>15</v>
      </c>
      <c r="L3" s="68"/>
      <c r="N3" s="2" t="s">
        <v>5</v>
      </c>
      <c r="O3" s="68" t="s">
        <v>71</v>
      </c>
      <c r="P3" s="68"/>
    </row>
    <row r="4" spans="1:16" x14ac:dyDescent="0.3">
      <c r="B4" s="1">
        <v>1</v>
      </c>
      <c r="C4" s="1">
        <v>2</v>
      </c>
      <c r="D4" t="s">
        <v>17</v>
      </c>
      <c r="E4" s="1" t="s">
        <v>7</v>
      </c>
      <c r="F4" s="1" t="s">
        <v>8</v>
      </c>
      <c r="G4" s="2" t="s">
        <v>3</v>
      </c>
      <c r="H4" s="1" t="str">
        <f t="shared" ref="H4:I5" si="0">E4</f>
        <v>x_11</v>
      </c>
      <c r="I4" s="1" t="str">
        <f t="shared" si="0"/>
        <v>x_12</v>
      </c>
      <c r="J4" s="2" t="s">
        <v>17</v>
      </c>
      <c r="K4" s="1">
        <f t="array" ref="K4:L5">TRANSPOSE(B4:C5)</f>
        <v>1</v>
      </c>
      <c r="L4" s="1">
        <v>3</v>
      </c>
      <c r="N4" s="2" t="s">
        <v>12</v>
      </c>
      <c r="O4" s="1">
        <v>7</v>
      </c>
      <c r="P4" s="1">
        <v>8</v>
      </c>
    </row>
    <row r="5" spans="1:16" x14ac:dyDescent="0.3">
      <c r="B5" s="1">
        <v>3</v>
      </c>
      <c r="C5" s="1">
        <v>4</v>
      </c>
      <c r="E5" s="1" t="s">
        <v>9</v>
      </c>
      <c r="F5" s="1" t="s">
        <v>10</v>
      </c>
      <c r="H5" s="1" t="str">
        <f t="shared" si="0"/>
        <v>x_21</v>
      </c>
      <c r="I5" s="1" t="str">
        <f t="shared" si="0"/>
        <v>x_22</v>
      </c>
      <c r="K5" s="1">
        <v>2</v>
      </c>
      <c r="L5" s="1">
        <v>4</v>
      </c>
      <c r="O5" s="1">
        <v>9</v>
      </c>
      <c r="P5" s="1">
        <v>10</v>
      </c>
    </row>
    <row r="7" spans="1:16" x14ac:dyDescent="0.3">
      <c r="A7" s="6" t="s">
        <v>76</v>
      </c>
      <c r="B7">
        <v>1</v>
      </c>
      <c r="C7">
        <v>0</v>
      </c>
    </row>
    <row r="8" spans="1:16" x14ac:dyDescent="0.3">
      <c r="B8">
        <v>0</v>
      </c>
      <c r="C8">
        <v>1</v>
      </c>
    </row>
    <row r="10" spans="1:16" x14ac:dyDescent="0.3">
      <c r="B10" s="68" t="s">
        <v>74</v>
      </c>
      <c r="C10" s="68"/>
      <c r="D10" s="68"/>
      <c r="E10" s="68"/>
      <c r="F10" s="2" t="s">
        <v>3</v>
      </c>
      <c r="G10" s="68" t="s">
        <v>73</v>
      </c>
      <c r="H10" s="68"/>
      <c r="I10" s="68"/>
      <c r="J10" s="68"/>
      <c r="L10" t="s">
        <v>68</v>
      </c>
      <c r="O10" s="2" t="s">
        <v>69</v>
      </c>
    </row>
    <row r="11" spans="1:16" x14ac:dyDescent="0.3">
      <c r="B11" s="1">
        <f>B4</f>
        <v>1</v>
      </c>
      <c r="C11" s="1">
        <f>C4</f>
        <v>2</v>
      </c>
      <c r="D11" s="1">
        <v>0</v>
      </c>
      <c r="E11" s="1">
        <v>0</v>
      </c>
      <c r="F11" s="2" t="s">
        <v>3</v>
      </c>
      <c r="G11" s="1">
        <f t="shared" ref="G11" si="1">B4</f>
        <v>1</v>
      </c>
      <c r="H11" s="1">
        <v>0</v>
      </c>
      <c r="I11" s="1">
        <f>C4</f>
        <v>2</v>
      </c>
      <c r="J11" s="1">
        <v>0</v>
      </c>
      <c r="L11" s="3" t="str">
        <f>E4</f>
        <v>x_11</v>
      </c>
      <c r="N11" t="s">
        <v>5</v>
      </c>
      <c r="O11" s="1">
        <f>O4</f>
        <v>7</v>
      </c>
    </row>
    <row r="12" spans="1:16" x14ac:dyDescent="0.3">
      <c r="B12" s="1">
        <f>B5</f>
        <v>3</v>
      </c>
      <c r="C12" s="1">
        <f>C5</f>
        <v>4</v>
      </c>
      <c r="D12" s="1">
        <v>0</v>
      </c>
      <c r="E12" s="1">
        <v>0</v>
      </c>
      <c r="G12" s="1">
        <v>0</v>
      </c>
      <c r="H12" s="1">
        <f>$B$4</f>
        <v>1</v>
      </c>
      <c r="I12" s="1">
        <v>0</v>
      </c>
      <c r="J12" s="1">
        <f>$C$4</f>
        <v>2</v>
      </c>
      <c r="L12" s="3" t="str">
        <f>E5</f>
        <v>x_21</v>
      </c>
      <c r="O12" s="1">
        <f>O5</f>
        <v>9</v>
      </c>
    </row>
    <row r="13" spans="1:16" x14ac:dyDescent="0.3">
      <c r="B13" s="1">
        <v>0</v>
      </c>
      <c r="C13" s="1">
        <v>0</v>
      </c>
      <c r="D13" s="1">
        <f>B4</f>
        <v>1</v>
      </c>
      <c r="E13" s="1">
        <f>C4</f>
        <v>2</v>
      </c>
      <c r="G13" s="1">
        <f>B5</f>
        <v>3</v>
      </c>
      <c r="H13" s="1">
        <v>0</v>
      </c>
      <c r="I13" s="1">
        <f>C5</f>
        <v>4</v>
      </c>
      <c r="J13" s="1">
        <v>0</v>
      </c>
      <c r="L13" s="3" t="str">
        <f>F4</f>
        <v>x_12</v>
      </c>
      <c r="O13" s="1">
        <f>P4</f>
        <v>8</v>
      </c>
    </row>
    <row r="14" spans="1:16" x14ac:dyDescent="0.3">
      <c r="B14" s="1">
        <v>0</v>
      </c>
      <c r="C14" s="1">
        <v>0</v>
      </c>
      <c r="D14" s="1">
        <f>B5</f>
        <v>3</v>
      </c>
      <c r="E14" s="1">
        <f>C5</f>
        <v>4</v>
      </c>
      <c r="G14" s="1">
        <v>0</v>
      </c>
      <c r="H14" s="1">
        <f>$B$5</f>
        <v>3</v>
      </c>
      <c r="I14" s="1">
        <v>0</v>
      </c>
      <c r="J14" s="1">
        <f>$C$5</f>
        <v>4</v>
      </c>
      <c r="L14" s="3" t="str">
        <f>F5</f>
        <v>x_22</v>
      </c>
      <c r="O14" s="1">
        <f>P5</f>
        <v>10</v>
      </c>
    </row>
    <row r="16" spans="1:16" x14ac:dyDescent="0.3">
      <c r="G16" s="1">
        <f t="array" ref="G16:J19">B11:E14+G11:J14</f>
        <v>2</v>
      </c>
      <c r="H16" s="1">
        <v>2</v>
      </c>
      <c r="I16" s="1">
        <v>2</v>
      </c>
      <c r="J16" s="1">
        <v>0</v>
      </c>
      <c r="L16" s="3" t="str">
        <f t="shared" ref="L16:N19" si="2">L11</f>
        <v>x_11</v>
      </c>
      <c r="N16" t="str">
        <f t="shared" si="2"/>
        <v>=</v>
      </c>
      <c r="O16" s="1">
        <f t="shared" ref="O16:O19" si="3">O11</f>
        <v>7</v>
      </c>
    </row>
    <row r="17" spans="7:16" x14ac:dyDescent="0.3">
      <c r="G17" s="1">
        <v>3</v>
      </c>
      <c r="H17" s="1">
        <v>5</v>
      </c>
      <c r="I17" s="1">
        <v>0</v>
      </c>
      <c r="J17" s="1">
        <v>2</v>
      </c>
      <c r="L17" s="3" t="str">
        <f t="shared" si="2"/>
        <v>x_21</v>
      </c>
      <c r="O17" s="1">
        <f t="shared" si="3"/>
        <v>9</v>
      </c>
    </row>
    <row r="18" spans="7:16" x14ac:dyDescent="0.3">
      <c r="G18" s="1">
        <v>3</v>
      </c>
      <c r="H18" s="1">
        <v>0</v>
      </c>
      <c r="I18" s="1">
        <v>5</v>
      </c>
      <c r="J18" s="1">
        <v>2</v>
      </c>
      <c r="L18" s="3" t="str">
        <f t="shared" si="2"/>
        <v>x_12</v>
      </c>
      <c r="O18" s="1">
        <f t="shared" si="3"/>
        <v>8</v>
      </c>
    </row>
    <row r="19" spans="7:16" x14ac:dyDescent="0.3">
      <c r="G19" s="1">
        <v>0</v>
      </c>
      <c r="H19" s="1">
        <v>3</v>
      </c>
      <c r="I19" s="1">
        <v>3</v>
      </c>
      <c r="J19" s="1">
        <v>8</v>
      </c>
      <c r="L19" s="3" t="str">
        <f t="shared" si="2"/>
        <v>x_22</v>
      </c>
      <c r="O19" s="1">
        <f t="shared" si="3"/>
        <v>10</v>
      </c>
    </row>
    <row r="21" spans="7:16" x14ac:dyDescent="0.3">
      <c r="L21" s="3" t="str">
        <f t="shared" ref="L21" si="4">L16</f>
        <v>x_11</v>
      </c>
      <c r="N21" t="str">
        <f t="shared" ref="N21" si="5">N16</f>
        <v>=</v>
      </c>
      <c r="O21" s="5">
        <f t="array" ref="O21:O24">MMULT(MINVERSE(G16:J19),O16:O19)</f>
        <v>-0.10000000000000053</v>
      </c>
    </row>
    <row r="22" spans="7:16" x14ac:dyDescent="0.3">
      <c r="L22" s="3" t="str">
        <f t="shared" ref="L22" si="6">L17</f>
        <v>x_21</v>
      </c>
      <c r="O22" s="4">
        <v>1.9000000000000001</v>
      </c>
    </row>
    <row r="23" spans="7:16" x14ac:dyDescent="0.3">
      <c r="L23" s="3" t="str">
        <f t="shared" ref="L23" si="7">L18</f>
        <v>x_12</v>
      </c>
      <c r="O23" s="4">
        <v>1.7000000000000002</v>
      </c>
    </row>
    <row r="24" spans="7:16" x14ac:dyDescent="0.3">
      <c r="L24" s="3" t="str">
        <f t="shared" ref="L24" si="8">L19</f>
        <v>x_22</v>
      </c>
      <c r="O24" s="4">
        <v>-9.9999999999999423E-2</v>
      </c>
    </row>
    <row r="26" spans="7:16" x14ac:dyDescent="0.3">
      <c r="K26" t="s">
        <v>70</v>
      </c>
      <c r="L26" s="3" t="str">
        <f>L21</f>
        <v>x_11</v>
      </c>
      <c r="M26" s="3" t="str">
        <f>L23</f>
        <v>x_12</v>
      </c>
      <c r="N26" t="str">
        <f t="shared" ref="N26" si="9">N21</f>
        <v>=</v>
      </c>
      <c r="O26" s="4">
        <f>O21</f>
        <v>-0.10000000000000053</v>
      </c>
      <c r="P26" s="4">
        <f>O23</f>
        <v>1.7000000000000002</v>
      </c>
    </row>
    <row r="27" spans="7:16" x14ac:dyDescent="0.3">
      <c r="L27" s="3" t="str">
        <f>L22</f>
        <v>x_21</v>
      </c>
      <c r="M27" s="3" t="str">
        <f>L24</f>
        <v>x_22</v>
      </c>
      <c r="O27" s="4">
        <f>O22</f>
        <v>1.9000000000000001</v>
      </c>
      <c r="P27" s="4">
        <f>O24</f>
        <v>-9.9999999999999423E-2</v>
      </c>
    </row>
  </sheetData>
  <mergeCells count="7">
    <mergeCell ref="K3:L3"/>
    <mergeCell ref="O3:P3"/>
    <mergeCell ref="B10:E10"/>
    <mergeCell ref="G10:J10"/>
    <mergeCell ref="B3:C3"/>
    <mergeCell ref="E3:F3"/>
    <mergeCell ref="H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H62"/>
  <sheetViews>
    <sheetView workbookViewId="0">
      <selection activeCell="C5" sqref="C5"/>
    </sheetView>
  </sheetViews>
  <sheetFormatPr defaultRowHeight="14.4" x14ac:dyDescent="0.3"/>
  <cols>
    <col min="2" max="2" width="9.6640625" customWidth="1"/>
    <col min="3" max="7" width="4.88671875" customWidth="1"/>
    <col min="8" max="8" width="8.109375" customWidth="1"/>
    <col min="9" max="12" width="4.88671875" customWidth="1"/>
    <col min="13" max="13" width="5.6640625" customWidth="1"/>
    <col min="14" max="15" width="4.88671875" customWidth="1"/>
    <col min="16" max="16" width="11.44140625" customWidth="1"/>
    <col min="17" max="17" width="5.21875" customWidth="1"/>
    <col min="23" max="24" width="12.6640625" bestFit="1" customWidth="1"/>
    <col min="26" max="27" width="12" bestFit="1" customWidth="1"/>
  </cols>
  <sheetData>
    <row r="2" spans="1:10" x14ac:dyDescent="0.3">
      <c r="B2" s="14" t="s">
        <v>21</v>
      </c>
      <c r="C2" s="27">
        <v>1</v>
      </c>
      <c r="I2" s="24" t="s">
        <v>64</v>
      </c>
      <c r="J2" s="28">
        <f t="array" ref="J2">MDETERM(P50:Q51)</f>
        <v>4</v>
      </c>
    </row>
    <row r="3" spans="1:10" x14ac:dyDescent="0.3">
      <c r="B3" s="14" t="s">
        <v>22</v>
      </c>
      <c r="C3" s="27">
        <v>0</v>
      </c>
    </row>
    <row r="4" spans="1:10" x14ac:dyDescent="0.3">
      <c r="B4" s="14" t="s">
        <v>23</v>
      </c>
      <c r="C4" s="27">
        <v>1</v>
      </c>
    </row>
    <row r="6" spans="1:10" x14ac:dyDescent="0.3">
      <c r="B6" s="14" t="s">
        <v>24</v>
      </c>
      <c r="C6" s="34">
        <f>C2</f>
        <v>1</v>
      </c>
      <c r="D6" s="34">
        <f>G6</f>
        <v>0</v>
      </c>
      <c r="F6" s="35" t="s">
        <v>21</v>
      </c>
      <c r="G6" s="35">
        <v>0</v>
      </c>
    </row>
    <row r="7" spans="1:10" x14ac:dyDescent="0.3">
      <c r="C7" s="34">
        <f>C3</f>
        <v>0</v>
      </c>
      <c r="D7" s="34">
        <f>C4</f>
        <v>1</v>
      </c>
      <c r="F7" s="35" t="s">
        <v>22</v>
      </c>
      <c r="G7" s="35" t="s">
        <v>23</v>
      </c>
    </row>
    <row r="9" spans="1:10" x14ac:dyDescent="0.3">
      <c r="B9" s="14" t="s">
        <v>25</v>
      </c>
      <c r="C9" s="34">
        <f t="array" ref="C9:D10">MMULT(C6:D7, TRANSPOSE(C6:D7))</f>
        <v>1</v>
      </c>
      <c r="D9" s="34">
        <v>0</v>
      </c>
      <c r="F9" t="s">
        <v>26</v>
      </c>
    </row>
    <row r="10" spans="1:10" x14ac:dyDescent="0.3">
      <c r="C10" s="34">
        <v>0</v>
      </c>
      <c r="D10" s="34">
        <v>1</v>
      </c>
    </row>
    <row r="12" spans="1:10" x14ac:dyDescent="0.3">
      <c r="B12" s="14" t="s">
        <v>28</v>
      </c>
      <c r="C12" s="34">
        <v>0</v>
      </c>
      <c r="D12" s="34">
        <v>1</v>
      </c>
    </row>
    <row r="13" spans="1:10" x14ac:dyDescent="0.3">
      <c r="C13" s="34">
        <v>-1</v>
      </c>
      <c r="D13" s="34">
        <v>0</v>
      </c>
    </row>
    <row r="15" spans="1:10" x14ac:dyDescent="0.3">
      <c r="A15" s="27">
        <v>-0.5</v>
      </c>
      <c r="B15" s="14" t="s">
        <v>27</v>
      </c>
      <c r="C15" s="34">
        <f>A15</f>
        <v>-0.5</v>
      </c>
      <c r="D15" s="34">
        <v>0</v>
      </c>
      <c r="E15" s="2" t="s">
        <v>3</v>
      </c>
      <c r="F15" s="34">
        <f t="array" ref="F15:G16">MMULT(Symplectic, Hamiltonian)</f>
        <v>0</v>
      </c>
      <c r="G15" s="34">
        <v>1</v>
      </c>
      <c r="H15" s="2" t="s">
        <v>5</v>
      </c>
      <c r="I15" s="34">
        <f>C15+F15</f>
        <v>-0.5</v>
      </c>
      <c r="J15" s="34">
        <f>D15+G15</f>
        <v>1</v>
      </c>
    </row>
    <row r="16" spans="1:10" x14ac:dyDescent="0.3">
      <c r="C16" s="34">
        <v>0</v>
      </c>
      <c r="D16" s="34">
        <f>C15</f>
        <v>-0.5</v>
      </c>
      <c r="F16" s="34">
        <v>-1</v>
      </c>
      <c r="G16" s="34">
        <v>0</v>
      </c>
      <c r="I16" s="34">
        <f>C16+F16</f>
        <v>-1</v>
      </c>
      <c r="J16" s="34">
        <f>D16+G16</f>
        <v>-0.5</v>
      </c>
    </row>
    <row r="19" spans="1:17" x14ac:dyDescent="0.3">
      <c r="A19" s="27">
        <v>2</v>
      </c>
      <c r="B19" s="14" t="s">
        <v>6</v>
      </c>
      <c r="C19" s="34">
        <f>A19</f>
        <v>2</v>
      </c>
      <c r="D19" s="34">
        <v>0</v>
      </c>
      <c r="F19" t="s">
        <v>77</v>
      </c>
    </row>
    <row r="20" spans="1:17" x14ac:dyDescent="0.3">
      <c r="C20" s="34">
        <v>0</v>
      </c>
      <c r="D20" s="34">
        <f>C19</f>
        <v>2</v>
      </c>
    </row>
    <row r="22" spans="1:17" x14ac:dyDescent="0.3">
      <c r="B22" s="14" t="s">
        <v>72</v>
      </c>
      <c r="C22" s="34">
        <v>1</v>
      </c>
      <c r="D22" s="34">
        <v>0</v>
      </c>
    </row>
    <row r="23" spans="1:17" x14ac:dyDescent="0.3">
      <c r="C23" s="34">
        <v>0</v>
      </c>
      <c r="D23" s="34">
        <v>1</v>
      </c>
    </row>
    <row r="25" spans="1:17" x14ac:dyDescent="0.3">
      <c r="B25" s="24" t="s">
        <v>75</v>
      </c>
    </row>
    <row r="26" spans="1:17" x14ac:dyDescent="0.3">
      <c r="C26" s="2"/>
    </row>
    <row r="27" spans="1:17" x14ac:dyDescent="0.3">
      <c r="C27" s="68" t="s">
        <v>0</v>
      </c>
      <c r="D27" s="68"/>
      <c r="E27" s="2" t="s">
        <v>17</v>
      </c>
      <c r="F27" s="68" t="s">
        <v>65</v>
      </c>
      <c r="G27" s="68"/>
      <c r="H27" s="2" t="s">
        <v>3</v>
      </c>
      <c r="I27" s="68" t="s">
        <v>65</v>
      </c>
      <c r="J27" s="68"/>
      <c r="K27" s="2" t="s">
        <v>17</v>
      </c>
      <c r="L27" s="68" t="s">
        <v>15</v>
      </c>
      <c r="M27" s="68"/>
      <c r="O27" s="2" t="s">
        <v>5</v>
      </c>
      <c r="P27" s="68" t="s">
        <v>71</v>
      </c>
      <c r="Q27" s="68"/>
    </row>
    <row r="28" spans="1:17" x14ac:dyDescent="0.3">
      <c r="C28" s="1">
        <f t="shared" ref="C28:D29" si="0">I15</f>
        <v>-0.5</v>
      </c>
      <c r="D28" s="1">
        <f t="shared" si="0"/>
        <v>1</v>
      </c>
      <c r="E28" s="2" t="s">
        <v>17</v>
      </c>
      <c r="F28" s="1" t="s">
        <v>7</v>
      </c>
      <c r="G28" s="1" t="s">
        <v>8</v>
      </c>
      <c r="H28" s="2" t="s">
        <v>3</v>
      </c>
      <c r="I28" s="1" t="str">
        <f t="shared" ref="I28:J29" si="1">F28</f>
        <v>x_11</v>
      </c>
      <c r="J28" s="1" t="str">
        <f t="shared" si="1"/>
        <v>x_12</v>
      </c>
      <c r="K28" s="2" t="s">
        <v>17</v>
      </c>
      <c r="L28" s="1">
        <f t="array" ref="L28:M29">TRANSPOSE(C28:D29)</f>
        <v>-0.5</v>
      </c>
      <c r="M28" s="1">
        <v>-1</v>
      </c>
      <c r="O28" s="2" t="s">
        <v>12</v>
      </c>
      <c r="P28" s="1">
        <f t="array" ref="P28:Q29">-C19:D20</f>
        <v>-2</v>
      </c>
      <c r="Q28" s="1">
        <v>0</v>
      </c>
    </row>
    <row r="29" spans="1:17" x14ac:dyDescent="0.3">
      <c r="C29" s="1">
        <f t="shared" si="0"/>
        <v>-1</v>
      </c>
      <c r="D29" s="1">
        <f t="shared" si="0"/>
        <v>-0.5</v>
      </c>
      <c r="F29" s="1" t="s">
        <v>9</v>
      </c>
      <c r="G29" s="1" t="s">
        <v>10</v>
      </c>
      <c r="I29" s="1" t="str">
        <f t="shared" si="1"/>
        <v>x_21</v>
      </c>
      <c r="J29" s="1" t="str">
        <f t="shared" si="1"/>
        <v>x_22</v>
      </c>
      <c r="L29" s="1">
        <v>1</v>
      </c>
      <c r="M29" s="1">
        <v>-0.5</v>
      </c>
      <c r="P29" s="1">
        <v>0</v>
      </c>
      <c r="Q29" s="1">
        <v>-2</v>
      </c>
    </row>
    <row r="33" spans="3:16" x14ac:dyDescent="0.3">
      <c r="C33" s="68" t="s">
        <v>74</v>
      </c>
      <c r="D33" s="68"/>
      <c r="E33" s="68"/>
      <c r="F33" s="68"/>
      <c r="G33" s="2" t="s">
        <v>3</v>
      </c>
      <c r="H33" s="68" t="s">
        <v>73</v>
      </c>
      <c r="I33" s="68"/>
      <c r="J33" s="68"/>
      <c r="K33" s="68"/>
      <c r="M33" t="s">
        <v>68</v>
      </c>
      <c r="P33" s="2" t="s">
        <v>69</v>
      </c>
    </row>
    <row r="34" spans="3:16" x14ac:dyDescent="0.3">
      <c r="C34" s="1">
        <f t="array" ref="C34:F37">KroneckerProduct(C22:D23, C28:D29)</f>
        <v>-0.5</v>
      </c>
      <c r="D34" s="1">
        <v>1</v>
      </c>
      <c r="E34" s="1">
        <v>0</v>
      </c>
      <c r="F34" s="1">
        <v>0</v>
      </c>
      <c r="G34" s="2" t="s">
        <v>3</v>
      </c>
      <c r="H34" s="1">
        <f t="array" ref="H34:K37">KroneckerProduct(C28:D29,C22:D23)</f>
        <v>-0.5</v>
      </c>
      <c r="I34" s="1">
        <v>0</v>
      </c>
      <c r="J34" s="1">
        <v>1</v>
      </c>
      <c r="K34" s="1">
        <v>0</v>
      </c>
      <c r="M34" s="3" t="str">
        <f>F28</f>
        <v>x_11</v>
      </c>
      <c r="O34" t="s">
        <v>5</v>
      </c>
      <c r="P34" s="41">
        <f>P28</f>
        <v>-2</v>
      </c>
    </row>
    <row r="35" spans="3:16" x14ac:dyDescent="0.3">
      <c r="C35" s="1">
        <v>-1</v>
      </c>
      <c r="D35" s="1">
        <v>-0.5</v>
      </c>
      <c r="E35" s="1">
        <v>0</v>
      </c>
      <c r="F35" s="1">
        <v>0</v>
      </c>
      <c r="H35" s="1">
        <v>0</v>
      </c>
      <c r="I35" s="1">
        <v>-0.5</v>
      </c>
      <c r="J35" s="1">
        <v>0</v>
      </c>
      <c r="K35" s="1">
        <v>1</v>
      </c>
      <c r="M35" s="3" t="str">
        <f>F29</f>
        <v>x_21</v>
      </c>
      <c r="P35" s="41">
        <f>P29</f>
        <v>0</v>
      </c>
    </row>
    <row r="36" spans="3:16" x14ac:dyDescent="0.3">
      <c r="C36" s="1">
        <v>0</v>
      </c>
      <c r="D36" s="1">
        <v>0</v>
      </c>
      <c r="E36" s="1">
        <v>-0.5</v>
      </c>
      <c r="F36" s="1">
        <v>1</v>
      </c>
      <c r="H36" s="1">
        <v>-1</v>
      </c>
      <c r="I36" s="1">
        <v>0</v>
      </c>
      <c r="J36" s="1">
        <v>-0.5</v>
      </c>
      <c r="K36" s="1">
        <v>0</v>
      </c>
      <c r="M36" s="3" t="str">
        <f>G28</f>
        <v>x_12</v>
      </c>
      <c r="P36" s="41">
        <f>Q28</f>
        <v>0</v>
      </c>
    </row>
    <row r="37" spans="3:16" x14ac:dyDescent="0.3">
      <c r="C37" s="1">
        <v>0</v>
      </c>
      <c r="D37" s="1">
        <v>0</v>
      </c>
      <c r="E37" s="1">
        <v>-1</v>
      </c>
      <c r="F37" s="1">
        <v>-0.5</v>
      </c>
      <c r="H37" s="1">
        <v>0</v>
      </c>
      <c r="I37" s="1">
        <v>-1</v>
      </c>
      <c r="J37" s="1">
        <v>0</v>
      </c>
      <c r="K37" s="1">
        <v>-0.5</v>
      </c>
      <c r="M37" s="3" t="str">
        <f>G29</f>
        <v>x_22</v>
      </c>
      <c r="P37" s="41">
        <f>Q29</f>
        <v>-2</v>
      </c>
    </row>
    <row r="38" spans="3:16" x14ac:dyDescent="0.3">
      <c r="P38" s="19"/>
    </row>
    <row r="39" spans="3:16" x14ac:dyDescent="0.3">
      <c r="H39" s="1">
        <f t="array" ref="H39:K42">C34:F37+H34:K37</f>
        <v>-1</v>
      </c>
      <c r="I39" s="1">
        <v>1</v>
      </c>
      <c r="J39" s="1">
        <v>1</v>
      </c>
      <c r="K39" s="1">
        <v>0</v>
      </c>
      <c r="M39" s="3" t="str">
        <f t="shared" ref="M39:P42" si="2">M34</f>
        <v>x_11</v>
      </c>
      <c r="O39" t="str">
        <f t="shared" si="2"/>
        <v>=</v>
      </c>
      <c r="P39" s="41">
        <f t="shared" si="2"/>
        <v>-2</v>
      </c>
    </row>
    <row r="40" spans="3:16" x14ac:dyDescent="0.3">
      <c r="H40" s="1">
        <v>-1</v>
      </c>
      <c r="I40" s="1">
        <v>-1</v>
      </c>
      <c r="J40" s="1">
        <v>0</v>
      </c>
      <c r="K40" s="1">
        <v>1</v>
      </c>
      <c r="M40" s="3" t="str">
        <f t="shared" si="2"/>
        <v>x_21</v>
      </c>
      <c r="P40" s="41">
        <f t="shared" si="2"/>
        <v>0</v>
      </c>
    </row>
    <row r="41" spans="3:16" x14ac:dyDescent="0.3">
      <c r="H41" s="1">
        <v>-1</v>
      </c>
      <c r="I41" s="1">
        <v>0</v>
      </c>
      <c r="J41" s="1">
        <v>-1</v>
      </c>
      <c r="K41" s="1">
        <v>1</v>
      </c>
      <c r="M41" s="3" t="str">
        <f t="shared" si="2"/>
        <v>x_12</v>
      </c>
      <c r="P41" s="41">
        <f t="shared" si="2"/>
        <v>0</v>
      </c>
    </row>
    <row r="42" spans="3:16" x14ac:dyDescent="0.3">
      <c r="H42" s="1">
        <v>0</v>
      </c>
      <c r="I42" s="1">
        <v>-1</v>
      </c>
      <c r="J42" s="1">
        <v>-1</v>
      </c>
      <c r="K42" s="1">
        <v>-1</v>
      </c>
      <c r="M42" s="3" t="str">
        <f t="shared" si="2"/>
        <v>x_22</v>
      </c>
      <c r="P42" s="41">
        <f t="shared" si="2"/>
        <v>-2</v>
      </c>
    </row>
    <row r="44" spans="3:16" x14ac:dyDescent="0.3">
      <c r="M44" s="3" t="str">
        <f t="shared" ref="M44:M47" si="3">M39</f>
        <v>x_11</v>
      </c>
      <c r="O44" t="str">
        <f t="shared" ref="O44" si="4">O39</f>
        <v>=</v>
      </c>
      <c r="P44" s="5">
        <f t="array" ref="P44:P47">MMULT(MINVERSE(H39:K42),P39:P42)</f>
        <v>2</v>
      </c>
    </row>
    <row r="45" spans="3:16" x14ac:dyDescent="0.3">
      <c r="M45" s="3" t="str">
        <f t="shared" si="3"/>
        <v>x_21</v>
      </c>
      <c r="P45" s="5">
        <v>5.5511151231257827E-17</v>
      </c>
    </row>
    <row r="46" spans="3:16" x14ac:dyDescent="0.3">
      <c r="M46" s="3" t="str">
        <f t="shared" si="3"/>
        <v>x_12</v>
      </c>
      <c r="P46" s="5">
        <v>-1.1102230246251565E-16</v>
      </c>
    </row>
    <row r="47" spans="3:16" x14ac:dyDescent="0.3">
      <c r="M47" s="3" t="str">
        <f t="shared" si="3"/>
        <v>x_22</v>
      </c>
      <c r="P47" s="5">
        <v>2</v>
      </c>
    </row>
    <row r="49" spans="13:34" x14ac:dyDescent="0.3">
      <c r="T49" s="68" t="s">
        <v>0</v>
      </c>
      <c r="U49" s="68"/>
      <c r="V49" s="39" t="s">
        <v>17</v>
      </c>
      <c r="W49" s="68" t="s">
        <v>65</v>
      </c>
      <c r="X49" s="68"/>
      <c r="Y49" s="39" t="s">
        <v>3</v>
      </c>
      <c r="Z49" s="68" t="s">
        <v>65</v>
      </c>
      <c r="AA49" s="68"/>
      <c r="AB49" s="39" t="s">
        <v>17</v>
      </c>
      <c r="AC49" s="68" t="s">
        <v>15</v>
      </c>
      <c r="AD49" s="68"/>
      <c r="AF49" s="39" t="s">
        <v>5</v>
      </c>
      <c r="AG49" s="68" t="s">
        <v>71</v>
      </c>
      <c r="AH49" s="68"/>
    </row>
    <row r="50" spans="13:34" x14ac:dyDescent="0.3">
      <c r="M50" t="s">
        <v>65</v>
      </c>
      <c r="O50" t="s">
        <v>5</v>
      </c>
      <c r="P50" s="5">
        <f>P44</f>
        <v>2</v>
      </c>
      <c r="Q50" s="5">
        <f>P46</f>
        <v>-1.1102230246251565E-16</v>
      </c>
      <c r="T50" s="36">
        <f t="array" ref="T50:U51">I15:J16</f>
        <v>-0.5</v>
      </c>
      <c r="U50" s="36">
        <v>1</v>
      </c>
      <c r="W50" s="36">
        <f t="array" ref="W50:X51">P50:Q51</f>
        <v>2</v>
      </c>
      <c r="X50" s="36">
        <v>-1.1102230246251565E-16</v>
      </c>
      <c r="Z50" s="36">
        <f t="array" ref="Z50:AA51">W50:X51</f>
        <v>2</v>
      </c>
      <c r="AA50" s="36">
        <v>-1.1102230246251565E-16</v>
      </c>
      <c r="AC50" s="36">
        <f t="array" ref="AC50:AD51">TRANSPOSE(T50:U51)</f>
        <v>-0.5</v>
      </c>
      <c r="AD50" s="36">
        <v>-1</v>
      </c>
    </row>
    <row r="51" spans="13:34" x14ac:dyDescent="0.3">
      <c r="P51" s="5">
        <f>P45</f>
        <v>5.5511151231257827E-17</v>
      </c>
      <c r="Q51" s="5">
        <f>P47</f>
        <v>2</v>
      </c>
      <c r="T51" s="36">
        <v>-1</v>
      </c>
      <c r="U51" s="36">
        <v>-0.5</v>
      </c>
      <c r="W51" s="36">
        <v>5.5511151231257827E-17</v>
      </c>
      <c r="X51" s="36">
        <v>2</v>
      </c>
      <c r="Z51" s="36">
        <v>5.5511151231257827E-17</v>
      </c>
      <c r="AA51" s="36">
        <v>2</v>
      </c>
      <c r="AC51" s="36">
        <v>1</v>
      </c>
      <c r="AD51" s="36">
        <v>-0.5</v>
      </c>
    </row>
    <row r="53" spans="13:34" x14ac:dyDescent="0.3">
      <c r="T53" s="68" t="s">
        <v>80</v>
      </c>
      <c r="U53" s="68"/>
      <c r="Z53" s="68" t="s">
        <v>81</v>
      </c>
      <c r="AA53" s="68"/>
    </row>
    <row r="54" spans="13:34" x14ac:dyDescent="0.3">
      <c r="T54" s="36">
        <f t="array" ref="T54:U55">MMULT(T50:U51,W50:X51)</f>
        <v>-1</v>
      </c>
      <c r="U54" s="36">
        <v>2</v>
      </c>
      <c r="Z54" s="36">
        <f t="array" ref="Z54:AA55">MMULT(Z50:AA51,AC50:AD51)</f>
        <v>-1</v>
      </c>
      <c r="AA54" s="36">
        <v>-2</v>
      </c>
    </row>
    <row r="55" spans="13:34" x14ac:dyDescent="0.3">
      <c r="T55" s="36">
        <v>-2</v>
      </c>
      <c r="U55" s="36">
        <v>-0.99999999999999989</v>
      </c>
      <c r="Z55" s="36">
        <v>2</v>
      </c>
      <c r="AA55" s="36">
        <v>-1</v>
      </c>
    </row>
    <row r="57" spans="13:34" x14ac:dyDescent="0.3">
      <c r="T57" s="69" t="s">
        <v>66</v>
      </c>
      <c r="U57" s="68"/>
    </row>
    <row r="58" spans="13:34" x14ac:dyDescent="0.3">
      <c r="T58">
        <f t="array" ref="T58:U59">T54:U55+Z54:AA55</f>
        <v>-2</v>
      </c>
      <c r="U58">
        <v>0</v>
      </c>
    </row>
    <row r="59" spans="13:34" x14ac:dyDescent="0.3">
      <c r="T59">
        <v>0</v>
      </c>
      <c r="U59">
        <v>-2</v>
      </c>
    </row>
    <row r="61" spans="13:34" x14ac:dyDescent="0.3">
      <c r="T61" t="b">
        <f t="array" ref="T61:U62">ROUND(T58:U59,2)=-C19:D20</f>
        <v>1</v>
      </c>
      <c r="U61" t="b">
        <v>1</v>
      </c>
    </row>
    <row r="62" spans="13:34" x14ac:dyDescent="0.3">
      <c r="T62" t="b">
        <v>1</v>
      </c>
      <c r="U62" t="b">
        <v>1</v>
      </c>
    </row>
  </sheetData>
  <mergeCells count="15">
    <mergeCell ref="T53:U53"/>
    <mergeCell ref="Z53:AA53"/>
    <mergeCell ref="T57:U57"/>
    <mergeCell ref="T49:U49"/>
    <mergeCell ref="W49:X49"/>
    <mergeCell ref="Z49:AA49"/>
    <mergeCell ref="AC49:AD49"/>
    <mergeCell ref="AG49:AH49"/>
    <mergeCell ref="L27:M27"/>
    <mergeCell ref="P27:Q27"/>
    <mergeCell ref="C33:F33"/>
    <mergeCell ref="H33:K33"/>
    <mergeCell ref="C27:D27"/>
    <mergeCell ref="F27:G27"/>
    <mergeCell ref="I27:J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09"/>
  <sheetViews>
    <sheetView zoomScale="110" zoomScaleNormal="110" workbookViewId="0">
      <selection activeCell="N4" sqref="N4"/>
    </sheetView>
  </sheetViews>
  <sheetFormatPr defaultRowHeight="14.4" x14ac:dyDescent="0.3"/>
  <cols>
    <col min="1" max="1" width="16.6640625" bestFit="1" customWidth="1"/>
    <col min="2" max="2" width="9.6640625" customWidth="1"/>
    <col min="3" max="3" width="7.77734375" customWidth="1"/>
    <col min="4" max="6" width="8.5546875" customWidth="1"/>
    <col min="7" max="7" width="13.33203125" bestFit="1" customWidth="1"/>
    <col min="8" max="11" width="7.77734375" customWidth="1"/>
    <col min="12" max="14" width="8" customWidth="1"/>
    <col min="15" max="18" width="8.109375" customWidth="1"/>
    <col min="19" max="22" width="8.5546875" customWidth="1"/>
    <col min="23" max="23" width="6.5546875" customWidth="1"/>
    <col min="24" max="24" width="5.88671875" customWidth="1"/>
    <col min="25" max="25" width="11" bestFit="1" customWidth="1"/>
    <col min="26" max="26" width="10.6640625" bestFit="1" customWidth="1"/>
    <col min="27" max="29" width="5.5546875" customWidth="1"/>
    <col min="30" max="30" width="11.5546875" bestFit="1" customWidth="1"/>
  </cols>
  <sheetData>
    <row r="1" spans="1:29" x14ac:dyDescent="0.3">
      <c r="A1" s="46">
        <f>($W$74)*1000000</f>
        <v>4000000</v>
      </c>
      <c r="I1" s="31"/>
      <c r="J1" s="31"/>
      <c r="K1" s="43"/>
      <c r="L1" s="43"/>
      <c r="M1" s="43"/>
      <c r="N1" s="43"/>
      <c r="O1" s="43"/>
      <c r="P1" s="43"/>
      <c r="Q1" s="43"/>
      <c r="R1" s="43"/>
    </row>
    <row r="2" spans="1:29" x14ac:dyDescent="0.3">
      <c r="C2" s="12" t="s">
        <v>43</v>
      </c>
      <c r="D2" s="13"/>
      <c r="E2" s="13"/>
      <c r="F2" s="13"/>
      <c r="G2" s="13"/>
      <c r="H2" s="13"/>
      <c r="I2" s="14" t="s">
        <v>29</v>
      </c>
      <c r="J2" s="14" t="s">
        <v>32</v>
      </c>
      <c r="K2" s="14" t="s">
        <v>31</v>
      </c>
      <c r="L2" s="14" t="s">
        <v>30</v>
      </c>
      <c r="M2" s="14" t="s">
        <v>33</v>
      </c>
      <c r="N2" s="14" t="s">
        <v>34</v>
      </c>
      <c r="O2" s="14" t="s">
        <v>35</v>
      </c>
      <c r="P2" s="14" t="s">
        <v>36</v>
      </c>
      <c r="Q2" s="14" t="s">
        <v>37</v>
      </c>
      <c r="R2" s="14" t="s">
        <v>38</v>
      </c>
    </row>
    <row r="3" spans="1:29" x14ac:dyDescent="0.3">
      <c r="B3" s="24" t="s">
        <v>63</v>
      </c>
      <c r="C3" s="23">
        <v>2</v>
      </c>
      <c r="D3" s="2"/>
      <c r="E3" s="2"/>
      <c r="F3" s="2"/>
      <c r="G3" s="2"/>
      <c r="H3" s="2"/>
      <c r="I3" s="23">
        <v>1</v>
      </c>
      <c r="J3" s="23">
        <v>0</v>
      </c>
      <c r="K3" s="23">
        <v>1</v>
      </c>
      <c r="L3" s="23">
        <v>0</v>
      </c>
      <c r="M3" s="23">
        <v>0</v>
      </c>
      <c r="N3" s="23">
        <v>1</v>
      </c>
      <c r="O3" s="23">
        <v>0</v>
      </c>
      <c r="P3" s="23">
        <v>0</v>
      </c>
      <c r="Q3" s="23">
        <v>0</v>
      </c>
      <c r="R3" s="23">
        <v>1</v>
      </c>
      <c r="V3" s="24" t="s">
        <v>64</v>
      </c>
      <c r="W3" s="42">
        <f t="array" ref="W3">MDETERM(W68:X69)</f>
        <v>4</v>
      </c>
      <c r="X3" s="30"/>
    </row>
    <row r="4" spans="1:29" x14ac:dyDescent="0.3">
      <c r="B4" s="6"/>
      <c r="P4" s="19"/>
    </row>
    <row r="5" spans="1:29" ht="16.2" x14ac:dyDescent="0.3">
      <c r="B5" s="6" t="s">
        <v>39</v>
      </c>
      <c r="C5" s="9" t="s">
        <v>29</v>
      </c>
      <c r="D5" s="8">
        <v>0</v>
      </c>
      <c r="E5" s="8">
        <v>0</v>
      </c>
      <c r="F5" s="8">
        <v>0</v>
      </c>
      <c r="G5" s="7" t="s">
        <v>5</v>
      </c>
      <c r="H5" s="9">
        <f>I3</f>
        <v>1</v>
      </c>
      <c r="I5" s="8">
        <v>0</v>
      </c>
      <c r="J5" s="8">
        <v>0</v>
      </c>
      <c r="K5" s="8">
        <v>0</v>
      </c>
      <c r="N5" s="6" t="s">
        <v>40</v>
      </c>
      <c r="O5" s="45">
        <f t="array" ref="O5:R8">MMULT(H5:K8, TRANSPOSE(H5:K8))</f>
        <v>1</v>
      </c>
      <c r="P5" s="17">
        <v>0</v>
      </c>
      <c r="Q5" s="17">
        <v>0</v>
      </c>
      <c r="R5" s="17">
        <v>0</v>
      </c>
      <c r="T5" t="s">
        <v>26</v>
      </c>
    </row>
    <row r="6" spans="1:29" x14ac:dyDescent="0.3">
      <c r="C6" s="9" t="s">
        <v>32</v>
      </c>
      <c r="D6" s="9" t="s">
        <v>31</v>
      </c>
      <c r="E6" s="8">
        <v>0</v>
      </c>
      <c r="F6" s="8">
        <v>0</v>
      </c>
      <c r="H6" s="9">
        <f>J3</f>
        <v>0</v>
      </c>
      <c r="I6" s="9">
        <f>K3</f>
        <v>1</v>
      </c>
      <c r="J6" s="8">
        <v>0</v>
      </c>
      <c r="K6" s="8">
        <v>0</v>
      </c>
      <c r="O6" s="17">
        <v>0</v>
      </c>
      <c r="P6" s="45">
        <v>1</v>
      </c>
      <c r="Q6" s="17">
        <v>0</v>
      </c>
      <c r="R6" s="17">
        <v>0</v>
      </c>
    </row>
    <row r="7" spans="1:29" x14ac:dyDescent="0.3">
      <c r="C7" s="9" t="s">
        <v>30</v>
      </c>
      <c r="D7" s="9" t="s">
        <v>33</v>
      </c>
      <c r="E7" s="9" t="s">
        <v>34</v>
      </c>
      <c r="F7" s="8">
        <v>0</v>
      </c>
      <c r="H7" s="9">
        <f>L3</f>
        <v>0</v>
      </c>
      <c r="I7" s="9">
        <f>M3</f>
        <v>0</v>
      </c>
      <c r="J7" s="9">
        <f>N3</f>
        <v>1</v>
      </c>
      <c r="K7" s="8">
        <v>0</v>
      </c>
      <c r="O7" s="17">
        <v>0</v>
      </c>
      <c r="P7" s="17">
        <v>0</v>
      </c>
      <c r="Q7" s="50">
        <v>1</v>
      </c>
      <c r="R7" s="44">
        <v>0</v>
      </c>
    </row>
    <row r="8" spans="1:29" x14ac:dyDescent="0.3">
      <c r="C8" s="9" t="s">
        <v>35</v>
      </c>
      <c r="D8" s="9" t="s">
        <v>36</v>
      </c>
      <c r="E8" s="9" t="s">
        <v>37</v>
      </c>
      <c r="F8" s="9" t="s">
        <v>38</v>
      </c>
      <c r="H8" s="9">
        <f>O3</f>
        <v>0</v>
      </c>
      <c r="I8" s="9">
        <f>P3</f>
        <v>0</v>
      </c>
      <c r="J8" s="9">
        <f>Q3</f>
        <v>0</v>
      </c>
      <c r="K8" s="9">
        <f>R3</f>
        <v>1</v>
      </c>
      <c r="O8" s="17">
        <v>0</v>
      </c>
      <c r="P8" s="17">
        <v>0</v>
      </c>
      <c r="Q8" s="44">
        <v>0</v>
      </c>
      <c r="R8" s="50">
        <v>1</v>
      </c>
    </row>
    <row r="9" spans="1:29" x14ac:dyDescent="0.3">
      <c r="Q9" s="49"/>
    </row>
    <row r="11" spans="1:29" x14ac:dyDescent="0.3">
      <c r="B11" s="6" t="s">
        <v>44</v>
      </c>
      <c r="C11" s="9">
        <f>Chi</f>
        <v>2</v>
      </c>
      <c r="D11" s="10">
        <v>0</v>
      </c>
      <c r="E11" s="10">
        <v>0</v>
      </c>
      <c r="F11" s="10">
        <v>0</v>
      </c>
      <c r="H11" s="59"/>
      <c r="I11" s="59"/>
      <c r="J11" s="59"/>
      <c r="K11" s="59"/>
      <c r="N11" s="6" t="s">
        <v>41</v>
      </c>
      <c r="O11" s="34">
        <v>0</v>
      </c>
      <c r="P11" s="34">
        <v>1</v>
      </c>
      <c r="Q11" s="8">
        <v>0</v>
      </c>
      <c r="R11" s="8">
        <v>0</v>
      </c>
      <c r="U11" s="9" t="s">
        <v>29</v>
      </c>
      <c r="V11" s="8">
        <v>0</v>
      </c>
      <c r="W11" s="8">
        <v>0</v>
      </c>
      <c r="X11" s="8">
        <v>0</v>
      </c>
      <c r="Z11" s="9" t="s">
        <v>29</v>
      </c>
      <c r="AA11" s="9" t="s">
        <v>32</v>
      </c>
      <c r="AB11" s="9" t="s">
        <v>30</v>
      </c>
      <c r="AC11" s="9" t="s">
        <v>35</v>
      </c>
    </row>
    <row r="12" spans="1:29" x14ac:dyDescent="0.3">
      <c r="C12" s="10">
        <v>0</v>
      </c>
      <c r="D12" s="9">
        <f>Chi</f>
        <v>2</v>
      </c>
      <c r="E12" s="10">
        <v>0</v>
      </c>
      <c r="F12" s="10">
        <v>0</v>
      </c>
      <c r="H12" s="59"/>
      <c r="I12" s="59"/>
      <c r="J12" s="59"/>
      <c r="K12" s="59"/>
      <c r="O12" s="34">
        <v>-1</v>
      </c>
      <c r="P12" s="34">
        <v>0</v>
      </c>
      <c r="Q12" s="8">
        <v>0</v>
      </c>
      <c r="R12" s="8">
        <v>0</v>
      </c>
      <c r="U12" s="9" t="s">
        <v>32</v>
      </c>
      <c r="V12" s="9" t="s">
        <v>31</v>
      </c>
      <c r="W12" s="8">
        <v>0</v>
      </c>
      <c r="X12" s="8">
        <v>0</v>
      </c>
      <c r="Z12" s="8">
        <v>0</v>
      </c>
      <c r="AA12" s="9" t="s">
        <v>31</v>
      </c>
      <c r="AB12" s="9" t="s">
        <v>33</v>
      </c>
      <c r="AC12" s="9" t="s">
        <v>36</v>
      </c>
    </row>
    <row r="13" spans="1:29" x14ac:dyDescent="0.3">
      <c r="C13" s="10">
        <v>0</v>
      </c>
      <c r="D13" s="10">
        <v>0</v>
      </c>
      <c r="E13" s="9">
        <f>Chi</f>
        <v>2</v>
      </c>
      <c r="F13" s="10">
        <v>0</v>
      </c>
      <c r="H13" s="59"/>
      <c r="I13" s="59"/>
      <c r="J13" s="59"/>
      <c r="K13" s="59"/>
      <c r="O13" s="8">
        <v>0</v>
      </c>
      <c r="P13" s="8">
        <v>0</v>
      </c>
      <c r="Q13" s="34">
        <v>0</v>
      </c>
      <c r="R13" s="34">
        <v>1</v>
      </c>
      <c r="U13" s="9" t="s">
        <v>30</v>
      </c>
      <c r="V13" s="9" t="s">
        <v>33</v>
      </c>
      <c r="W13" s="9" t="s">
        <v>34</v>
      </c>
      <c r="X13" s="8">
        <v>0</v>
      </c>
      <c r="Z13" s="8">
        <v>0</v>
      </c>
      <c r="AA13" s="8">
        <v>0</v>
      </c>
      <c r="AB13" s="9" t="s">
        <v>34</v>
      </c>
      <c r="AC13" s="9" t="s">
        <v>37</v>
      </c>
    </row>
    <row r="14" spans="1:29" x14ac:dyDescent="0.3">
      <c r="C14" s="10">
        <v>0</v>
      </c>
      <c r="D14" s="10">
        <v>0</v>
      </c>
      <c r="E14" s="10">
        <v>0</v>
      </c>
      <c r="F14" s="9">
        <f>Chi</f>
        <v>2</v>
      </c>
      <c r="H14" s="59"/>
      <c r="I14" s="59"/>
      <c r="J14" s="59"/>
      <c r="K14" s="59"/>
      <c r="O14" s="8">
        <v>0</v>
      </c>
      <c r="P14" s="8">
        <v>0</v>
      </c>
      <c r="Q14" s="34">
        <v>-1</v>
      </c>
      <c r="R14" s="34">
        <v>0</v>
      </c>
      <c r="U14" s="9" t="s">
        <v>35</v>
      </c>
      <c r="V14" s="9" t="s">
        <v>36</v>
      </c>
      <c r="W14" s="9" t="s">
        <v>37</v>
      </c>
      <c r="X14" s="9" t="s">
        <v>38</v>
      </c>
      <c r="Z14" s="8">
        <v>0</v>
      </c>
      <c r="AA14" s="8">
        <v>0</v>
      </c>
      <c r="AB14" s="8">
        <v>0</v>
      </c>
      <c r="AC14" s="9" t="s">
        <v>38</v>
      </c>
    </row>
    <row r="16" spans="1:29" x14ac:dyDescent="0.3">
      <c r="C16" s="10">
        <v>-0.5</v>
      </c>
      <c r="D16" t="s">
        <v>78</v>
      </c>
      <c r="H16" s="70" t="s">
        <v>79</v>
      </c>
      <c r="I16" s="68"/>
      <c r="J16" s="68"/>
      <c r="K16" s="68"/>
    </row>
    <row r="17" spans="2:26" x14ac:dyDescent="0.3">
      <c r="B17" s="6" t="s">
        <v>42</v>
      </c>
      <c r="C17" s="11">
        <f>C16</f>
        <v>-0.5</v>
      </c>
      <c r="D17" s="10">
        <v>0</v>
      </c>
      <c r="E17" s="10">
        <v>0</v>
      </c>
      <c r="F17" s="10">
        <v>0</v>
      </c>
      <c r="G17" s="7" t="s">
        <v>3</v>
      </c>
      <c r="H17" s="17">
        <f t="array" ref="H17:K20">MMULT(Symplectic, Hamiltonian)</f>
        <v>0</v>
      </c>
      <c r="I17" s="17">
        <v>1</v>
      </c>
      <c r="J17" s="17">
        <v>0</v>
      </c>
      <c r="K17" s="17">
        <v>0</v>
      </c>
      <c r="M17" s="7" t="s">
        <v>5</v>
      </c>
      <c r="O17" s="17">
        <f>C17 + H17</f>
        <v>-0.5</v>
      </c>
      <c r="P17" s="17">
        <f t="shared" ref="P17:P20" si="0">D17 + I17</f>
        <v>1</v>
      </c>
      <c r="Q17" s="17">
        <f t="shared" ref="Q17:Q20" si="1">E17 + J17</f>
        <v>0</v>
      </c>
      <c r="R17" s="17">
        <f t="shared" ref="R17:R20" si="2">F17 + K17</f>
        <v>0</v>
      </c>
    </row>
    <row r="18" spans="2:26" x14ac:dyDescent="0.3">
      <c r="C18" s="10">
        <v>0</v>
      </c>
      <c r="D18" s="11">
        <f>C17</f>
        <v>-0.5</v>
      </c>
      <c r="E18" s="10">
        <v>0</v>
      </c>
      <c r="F18" s="10">
        <v>0</v>
      </c>
      <c r="H18" s="17">
        <v>-1</v>
      </c>
      <c r="I18" s="17">
        <v>0</v>
      </c>
      <c r="J18" s="17">
        <v>0</v>
      </c>
      <c r="K18" s="17">
        <v>0</v>
      </c>
      <c r="O18" s="17">
        <f t="shared" ref="O18:O20" si="3">C18 + H18</f>
        <v>-1</v>
      </c>
      <c r="P18" s="17">
        <f t="shared" si="0"/>
        <v>-0.5</v>
      </c>
      <c r="Q18" s="17">
        <f t="shared" si="1"/>
        <v>0</v>
      </c>
      <c r="R18" s="17">
        <f t="shared" si="2"/>
        <v>0</v>
      </c>
    </row>
    <row r="19" spans="2:26" x14ac:dyDescent="0.3">
      <c r="C19" s="10">
        <v>0</v>
      </c>
      <c r="D19" s="10">
        <v>0</v>
      </c>
      <c r="E19" s="11">
        <f>D18</f>
        <v>-0.5</v>
      </c>
      <c r="F19" s="10">
        <v>0</v>
      </c>
      <c r="H19" s="22">
        <v>0</v>
      </c>
      <c r="I19" s="22">
        <v>0</v>
      </c>
      <c r="J19" s="17">
        <v>0</v>
      </c>
      <c r="K19" s="17">
        <v>1</v>
      </c>
      <c r="O19" s="17">
        <f t="shared" si="3"/>
        <v>0</v>
      </c>
      <c r="P19" s="17">
        <f t="shared" si="0"/>
        <v>0</v>
      </c>
      <c r="Q19" s="44">
        <f t="shared" si="1"/>
        <v>-0.5</v>
      </c>
      <c r="R19" s="17">
        <f t="shared" si="2"/>
        <v>1</v>
      </c>
    </row>
    <row r="20" spans="2:26" x14ac:dyDescent="0.3">
      <c r="C20" s="10">
        <v>0</v>
      </c>
      <c r="D20" s="10">
        <v>0</v>
      </c>
      <c r="E20" s="10">
        <v>0</v>
      </c>
      <c r="F20" s="11">
        <f>E19</f>
        <v>-0.5</v>
      </c>
      <c r="H20" s="22">
        <v>0</v>
      </c>
      <c r="I20" s="22">
        <v>0</v>
      </c>
      <c r="J20" s="17">
        <v>-1</v>
      </c>
      <c r="K20" s="17">
        <v>0</v>
      </c>
      <c r="O20" s="17">
        <f t="shared" si="3"/>
        <v>0</v>
      </c>
      <c r="P20" s="17">
        <f t="shared" si="0"/>
        <v>0</v>
      </c>
      <c r="Q20" s="17">
        <f t="shared" si="1"/>
        <v>-1</v>
      </c>
      <c r="R20" s="44">
        <f t="shared" si="2"/>
        <v>-0.5</v>
      </c>
    </row>
    <row r="22" spans="2:26" x14ac:dyDescent="0.3">
      <c r="B22" s="6" t="s">
        <v>62</v>
      </c>
      <c r="C22" s="15">
        <v>1</v>
      </c>
      <c r="D22" s="16">
        <v>0</v>
      </c>
      <c r="E22" s="16">
        <v>0</v>
      </c>
      <c r="F22" s="16">
        <v>0</v>
      </c>
    </row>
    <row r="23" spans="2:26" x14ac:dyDescent="0.3">
      <c r="C23" s="16">
        <v>0</v>
      </c>
      <c r="D23" s="15">
        <v>1</v>
      </c>
      <c r="E23" s="16">
        <v>0</v>
      </c>
      <c r="F23" s="16">
        <v>0</v>
      </c>
    </row>
    <row r="24" spans="2:26" x14ac:dyDescent="0.3">
      <c r="C24" s="16">
        <v>0</v>
      </c>
      <c r="D24" s="16">
        <v>0</v>
      </c>
      <c r="E24" s="15">
        <v>1</v>
      </c>
      <c r="F24" s="16">
        <v>0</v>
      </c>
    </row>
    <row r="25" spans="2:26" x14ac:dyDescent="0.3">
      <c r="C25" s="16">
        <v>0</v>
      </c>
      <c r="D25" s="16">
        <v>0</v>
      </c>
      <c r="E25" s="16">
        <v>0</v>
      </c>
      <c r="F25" s="15">
        <v>1</v>
      </c>
    </row>
    <row r="27" spans="2:26" x14ac:dyDescent="0.3">
      <c r="C27" s="68" t="s">
        <v>0</v>
      </c>
      <c r="D27" s="68"/>
      <c r="E27" s="68"/>
      <c r="F27" s="68"/>
      <c r="G27" s="7" t="s">
        <v>45</v>
      </c>
      <c r="H27" s="68" t="s">
        <v>65</v>
      </c>
      <c r="I27" s="68"/>
      <c r="J27" s="68"/>
      <c r="K27" s="68"/>
      <c r="L27" s="2" t="s">
        <v>3</v>
      </c>
      <c r="M27" s="68" t="s">
        <v>65</v>
      </c>
      <c r="N27" s="68"/>
      <c r="O27" s="68"/>
      <c r="P27" s="68"/>
      <c r="Q27" s="7" t="s">
        <v>45</v>
      </c>
      <c r="R27" s="68" t="s">
        <v>15</v>
      </c>
      <c r="S27" s="68"/>
      <c r="T27" s="68"/>
      <c r="U27" s="68"/>
      <c r="V27" s="7" t="s">
        <v>5</v>
      </c>
      <c r="W27" s="68" t="s">
        <v>66</v>
      </c>
      <c r="X27" s="68"/>
      <c r="Y27" s="68"/>
      <c r="Z27" s="68"/>
    </row>
    <row r="28" spans="2:26" x14ac:dyDescent="0.3">
      <c r="C28" s="17">
        <f t="array" ref="C28:F31">Drift</f>
        <v>-0.5</v>
      </c>
      <c r="D28" s="17">
        <v>1</v>
      </c>
      <c r="E28" s="17">
        <v>0</v>
      </c>
      <c r="F28" s="17">
        <v>0</v>
      </c>
      <c r="G28" s="7" t="s">
        <v>45</v>
      </c>
      <c r="H28" s="9" t="s">
        <v>46</v>
      </c>
      <c r="I28" s="9" t="s">
        <v>47</v>
      </c>
      <c r="J28" s="9" t="s">
        <v>48</v>
      </c>
      <c r="K28" s="9" t="s">
        <v>49</v>
      </c>
      <c r="L28" s="2" t="s">
        <v>3</v>
      </c>
      <c r="M28" s="9" t="s">
        <v>46</v>
      </c>
      <c r="N28" s="9" t="s">
        <v>47</v>
      </c>
      <c r="O28" s="9" t="s">
        <v>48</v>
      </c>
      <c r="P28" s="9" t="s">
        <v>49</v>
      </c>
      <c r="Q28" s="7" t="s">
        <v>45</v>
      </c>
      <c r="R28" s="17">
        <f t="array" ref="R28:U31">TRANSPOSE(Drift)</f>
        <v>-0.5</v>
      </c>
      <c r="S28" s="17">
        <v>-1</v>
      </c>
      <c r="T28" s="17">
        <v>0</v>
      </c>
      <c r="U28" s="17">
        <v>0</v>
      </c>
      <c r="V28" s="7" t="s">
        <v>5</v>
      </c>
      <c r="W28" s="9">
        <f t="array" ref="W28:Z31">-Diffusion</f>
        <v>-2</v>
      </c>
      <c r="X28" s="9">
        <v>0</v>
      </c>
      <c r="Y28" s="9">
        <v>0</v>
      </c>
      <c r="Z28" s="9">
        <v>0</v>
      </c>
    </row>
    <row r="29" spans="2:26" x14ac:dyDescent="0.3">
      <c r="C29" s="17">
        <v>-1</v>
      </c>
      <c r="D29" s="17">
        <v>-0.5</v>
      </c>
      <c r="E29" s="17">
        <v>0</v>
      </c>
      <c r="F29" s="17">
        <v>0</v>
      </c>
      <c r="H29" s="9" t="s">
        <v>50</v>
      </c>
      <c r="I29" s="9" t="s">
        <v>51</v>
      </c>
      <c r="J29" s="9" t="s">
        <v>52</v>
      </c>
      <c r="K29" s="9" t="s">
        <v>53</v>
      </c>
      <c r="M29" s="9" t="s">
        <v>50</v>
      </c>
      <c r="N29" s="9" t="s">
        <v>51</v>
      </c>
      <c r="O29" s="9" t="s">
        <v>52</v>
      </c>
      <c r="P29" s="9" t="s">
        <v>53</v>
      </c>
      <c r="R29" s="17">
        <v>1</v>
      </c>
      <c r="S29" s="17">
        <v>-0.5</v>
      </c>
      <c r="T29" s="17">
        <v>0</v>
      </c>
      <c r="U29" s="17">
        <v>0</v>
      </c>
      <c r="W29" s="9">
        <v>0</v>
      </c>
      <c r="X29" s="9">
        <v>-2</v>
      </c>
      <c r="Y29" s="9">
        <v>0</v>
      </c>
      <c r="Z29" s="9">
        <v>0</v>
      </c>
    </row>
    <row r="30" spans="2:26" x14ac:dyDescent="0.3">
      <c r="C30" s="17">
        <v>0</v>
      </c>
      <c r="D30" s="17">
        <v>0</v>
      </c>
      <c r="E30" s="17">
        <v>-0.5</v>
      </c>
      <c r="F30" s="17">
        <v>1</v>
      </c>
      <c r="H30" s="9" t="s">
        <v>54</v>
      </c>
      <c r="I30" s="9" t="s">
        <v>56</v>
      </c>
      <c r="J30" s="9" t="s">
        <v>57</v>
      </c>
      <c r="K30" s="9" t="s">
        <v>58</v>
      </c>
      <c r="M30" s="9" t="s">
        <v>54</v>
      </c>
      <c r="N30" s="9" t="s">
        <v>56</v>
      </c>
      <c r="O30" s="9" t="s">
        <v>57</v>
      </c>
      <c r="P30" s="9" t="s">
        <v>58</v>
      </c>
      <c r="R30" s="17">
        <v>0</v>
      </c>
      <c r="S30" s="17">
        <v>0</v>
      </c>
      <c r="T30" s="17">
        <v>-0.5</v>
      </c>
      <c r="U30" s="17">
        <v>-1</v>
      </c>
      <c r="W30" s="9">
        <v>0</v>
      </c>
      <c r="X30" s="9">
        <v>0</v>
      </c>
      <c r="Y30" s="9">
        <v>-2</v>
      </c>
      <c r="Z30" s="9">
        <v>0</v>
      </c>
    </row>
    <row r="31" spans="2:26" x14ac:dyDescent="0.3">
      <c r="C31" s="17">
        <v>0</v>
      </c>
      <c r="D31" s="17">
        <v>0</v>
      </c>
      <c r="E31" s="17">
        <v>-1</v>
      </c>
      <c r="F31" s="17">
        <v>-0.5</v>
      </c>
      <c r="H31" s="9" t="s">
        <v>55</v>
      </c>
      <c r="I31" s="9" t="s">
        <v>59</v>
      </c>
      <c r="J31" s="9" t="s">
        <v>60</v>
      </c>
      <c r="K31" s="9" t="s">
        <v>61</v>
      </c>
      <c r="M31" s="9" t="s">
        <v>55</v>
      </c>
      <c r="N31" s="9" t="s">
        <v>59</v>
      </c>
      <c r="O31" s="9" t="s">
        <v>60</v>
      </c>
      <c r="P31" s="9" t="s">
        <v>61</v>
      </c>
      <c r="R31" s="17">
        <v>0</v>
      </c>
      <c r="S31" s="17">
        <v>0</v>
      </c>
      <c r="T31" s="17">
        <v>1</v>
      </c>
      <c r="U31" s="17">
        <v>-0.5</v>
      </c>
      <c r="W31" s="9">
        <v>0</v>
      </c>
      <c r="X31" s="9">
        <v>0</v>
      </c>
      <c r="Y31" s="9">
        <v>0</v>
      </c>
      <c r="Z31" s="9">
        <v>-2</v>
      </c>
    </row>
    <row r="33" spans="3:23" x14ac:dyDescent="0.3">
      <c r="C33" s="68" t="s">
        <v>67</v>
      </c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T33" t="s">
        <v>68</v>
      </c>
      <c r="W33" t="s">
        <v>69</v>
      </c>
    </row>
    <row r="34" spans="3:23" x14ac:dyDescent="0.3">
      <c r="C34" s="17">
        <f t="array" ref="C34:R49">KroneckerProduct(Identity,Drift) + KroneckerProduct(Drift, Identity)</f>
        <v>-1</v>
      </c>
      <c r="D34" s="17">
        <v>1</v>
      </c>
      <c r="E34" s="17">
        <v>0</v>
      </c>
      <c r="F34" s="17">
        <v>0</v>
      </c>
      <c r="G34" s="17">
        <v>1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</v>
      </c>
      <c r="N34" s="17">
        <v>0</v>
      </c>
      <c r="O34" s="17">
        <v>0</v>
      </c>
      <c r="P34" s="17">
        <v>0</v>
      </c>
      <c r="Q34" s="17">
        <v>0</v>
      </c>
      <c r="R34" s="17">
        <v>0</v>
      </c>
      <c r="S34" s="7" t="s">
        <v>45</v>
      </c>
      <c r="T34" s="9" t="str">
        <f t="array" ref="T34:T49">Vec(H28:K31)</f>
        <v>x11</v>
      </c>
      <c r="V34" s="7" t="s">
        <v>5</v>
      </c>
      <c r="W34" s="9">
        <f t="array" ref="W34:W49">Vec(W28:Z31)</f>
        <v>-2</v>
      </c>
    </row>
    <row r="35" spans="3:23" x14ac:dyDescent="0.3">
      <c r="C35" s="17">
        <v>-1</v>
      </c>
      <c r="D35" s="17">
        <v>-1</v>
      </c>
      <c r="E35" s="17">
        <v>0</v>
      </c>
      <c r="F35" s="17">
        <v>0</v>
      </c>
      <c r="G35" s="17">
        <v>0</v>
      </c>
      <c r="H35" s="17">
        <v>1</v>
      </c>
      <c r="I35" s="17">
        <v>0</v>
      </c>
      <c r="J35" s="17">
        <v>0</v>
      </c>
      <c r="K35" s="17">
        <v>0</v>
      </c>
      <c r="L35" s="17">
        <v>0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7">
        <v>0</v>
      </c>
      <c r="T35" s="9" t="str">
        <v>x21</v>
      </c>
      <c r="W35" s="9">
        <v>0</v>
      </c>
    </row>
    <row r="36" spans="3:23" x14ac:dyDescent="0.3">
      <c r="C36" s="17">
        <v>0</v>
      </c>
      <c r="D36" s="17">
        <v>0</v>
      </c>
      <c r="E36" s="17">
        <v>-1</v>
      </c>
      <c r="F36" s="17">
        <v>1</v>
      </c>
      <c r="G36" s="17">
        <v>0</v>
      </c>
      <c r="H36" s="17">
        <v>0</v>
      </c>
      <c r="I36" s="17">
        <v>1</v>
      </c>
      <c r="J36" s="17">
        <v>0</v>
      </c>
      <c r="K36" s="17">
        <v>0</v>
      </c>
      <c r="L36" s="17">
        <v>0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T36" s="9" t="str">
        <v>x31</v>
      </c>
      <c r="W36" s="9">
        <v>0</v>
      </c>
    </row>
    <row r="37" spans="3:23" x14ac:dyDescent="0.3">
      <c r="C37" s="17">
        <v>0</v>
      </c>
      <c r="D37" s="17">
        <v>0</v>
      </c>
      <c r="E37" s="17">
        <v>-1</v>
      </c>
      <c r="F37" s="17">
        <v>-1</v>
      </c>
      <c r="G37" s="17">
        <v>0</v>
      </c>
      <c r="H37" s="17">
        <v>0</v>
      </c>
      <c r="I37" s="17">
        <v>0</v>
      </c>
      <c r="J37" s="17">
        <v>1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T37" s="9" t="str">
        <v>x41</v>
      </c>
      <c r="W37" s="9">
        <v>0</v>
      </c>
    </row>
    <row r="38" spans="3:23" x14ac:dyDescent="0.3">
      <c r="C38" s="17">
        <v>-1</v>
      </c>
      <c r="D38" s="17">
        <v>0</v>
      </c>
      <c r="E38" s="17">
        <v>0</v>
      </c>
      <c r="F38" s="17">
        <v>0</v>
      </c>
      <c r="G38" s="17">
        <v>-1</v>
      </c>
      <c r="H38" s="17">
        <v>1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T38" s="9" t="str">
        <v>x12</v>
      </c>
      <c r="W38" s="9">
        <v>0</v>
      </c>
    </row>
    <row r="39" spans="3:23" x14ac:dyDescent="0.3">
      <c r="C39" s="17">
        <v>0</v>
      </c>
      <c r="D39" s="17">
        <v>-1</v>
      </c>
      <c r="E39" s="17">
        <v>0</v>
      </c>
      <c r="F39" s="17">
        <v>0</v>
      </c>
      <c r="G39" s="17">
        <v>-1</v>
      </c>
      <c r="H39" s="17">
        <v>-1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T39" s="9" t="str">
        <v>x22</v>
      </c>
      <c r="W39" s="9">
        <v>-2</v>
      </c>
    </row>
    <row r="40" spans="3:23" x14ac:dyDescent="0.3">
      <c r="C40" s="17">
        <v>0</v>
      </c>
      <c r="D40" s="17">
        <v>0</v>
      </c>
      <c r="E40" s="17">
        <v>-1</v>
      </c>
      <c r="F40" s="17">
        <v>0</v>
      </c>
      <c r="G40" s="17">
        <v>0</v>
      </c>
      <c r="H40" s="17">
        <v>0</v>
      </c>
      <c r="I40" s="17">
        <v>-1</v>
      </c>
      <c r="J40" s="17">
        <v>1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17">
        <v>0</v>
      </c>
      <c r="T40" s="9" t="str">
        <v>x32</v>
      </c>
      <c r="W40" s="9">
        <v>0</v>
      </c>
    </row>
    <row r="41" spans="3:23" x14ac:dyDescent="0.3">
      <c r="C41" s="17">
        <v>0</v>
      </c>
      <c r="D41" s="17">
        <v>0</v>
      </c>
      <c r="E41" s="17">
        <v>0</v>
      </c>
      <c r="F41" s="17">
        <v>-1</v>
      </c>
      <c r="G41" s="17">
        <v>0</v>
      </c>
      <c r="H41" s="17">
        <v>0</v>
      </c>
      <c r="I41" s="17">
        <v>-1</v>
      </c>
      <c r="J41" s="17">
        <v>-1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0</v>
      </c>
      <c r="T41" s="9" t="str">
        <v>x42</v>
      </c>
      <c r="W41" s="9">
        <v>0</v>
      </c>
    </row>
    <row r="42" spans="3:23" x14ac:dyDescent="0.3">
      <c r="C42" s="17">
        <v>0</v>
      </c>
      <c r="D42" s="17">
        <v>0</v>
      </c>
      <c r="E42" s="17">
        <v>0</v>
      </c>
      <c r="F42" s="17">
        <v>0</v>
      </c>
      <c r="G42" s="17">
        <v>0</v>
      </c>
      <c r="H42" s="17">
        <v>0</v>
      </c>
      <c r="I42" s="17">
        <v>0</v>
      </c>
      <c r="J42" s="17">
        <v>0</v>
      </c>
      <c r="K42" s="17">
        <v>-1</v>
      </c>
      <c r="L42" s="17">
        <v>1</v>
      </c>
      <c r="M42" s="17">
        <v>0</v>
      </c>
      <c r="N42" s="17">
        <v>0</v>
      </c>
      <c r="O42" s="17">
        <v>1</v>
      </c>
      <c r="P42" s="17">
        <v>0</v>
      </c>
      <c r="Q42" s="17">
        <v>0</v>
      </c>
      <c r="R42" s="17">
        <v>0</v>
      </c>
      <c r="T42" s="9" t="str">
        <v>x13</v>
      </c>
      <c r="W42" s="9">
        <v>0</v>
      </c>
    </row>
    <row r="43" spans="3:23" x14ac:dyDescent="0.3">
      <c r="C43" s="17">
        <v>0</v>
      </c>
      <c r="D43" s="17">
        <v>0</v>
      </c>
      <c r="E43" s="17">
        <v>0</v>
      </c>
      <c r="F43" s="17">
        <v>0</v>
      </c>
      <c r="G43" s="17">
        <v>0</v>
      </c>
      <c r="H43" s="17">
        <v>0</v>
      </c>
      <c r="I43" s="17">
        <v>0</v>
      </c>
      <c r="J43" s="17">
        <v>0</v>
      </c>
      <c r="K43" s="17">
        <v>-1</v>
      </c>
      <c r="L43" s="17">
        <v>-1</v>
      </c>
      <c r="M43" s="17">
        <v>0</v>
      </c>
      <c r="N43" s="17">
        <v>0</v>
      </c>
      <c r="O43" s="17">
        <v>0</v>
      </c>
      <c r="P43" s="17">
        <v>1</v>
      </c>
      <c r="Q43" s="17">
        <v>0</v>
      </c>
      <c r="R43" s="17">
        <v>0</v>
      </c>
      <c r="T43" s="9" t="str">
        <v>x23</v>
      </c>
      <c r="W43" s="9">
        <v>0</v>
      </c>
    </row>
    <row r="44" spans="3:23" x14ac:dyDescent="0.3">
      <c r="C44" s="17">
        <v>0</v>
      </c>
      <c r="D44" s="17">
        <v>0</v>
      </c>
      <c r="E44" s="17">
        <v>0</v>
      </c>
      <c r="F44" s="17">
        <v>0</v>
      </c>
      <c r="G44" s="17">
        <v>0</v>
      </c>
      <c r="H44" s="17">
        <v>0</v>
      </c>
      <c r="I44" s="17">
        <v>0</v>
      </c>
      <c r="J44" s="17">
        <v>0</v>
      </c>
      <c r="K44" s="17">
        <v>0</v>
      </c>
      <c r="L44" s="17">
        <v>0</v>
      </c>
      <c r="M44" s="17">
        <v>-1</v>
      </c>
      <c r="N44" s="17">
        <v>1</v>
      </c>
      <c r="O44" s="17">
        <v>0</v>
      </c>
      <c r="P44" s="17">
        <v>0</v>
      </c>
      <c r="Q44" s="17">
        <v>1</v>
      </c>
      <c r="R44" s="17">
        <v>0</v>
      </c>
      <c r="T44" s="9" t="str">
        <v>x33</v>
      </c>
      <c r="W44" s="9">
        <v>-2</v>
      </c>
    </row>
    <row r="45" spans="3:23" x14ac:dyDescent="0.3">
      <c r="C45" s="17">
        <v>0</v>
      </c>
      <c r="D45" s="17">
        <v>0</v>
      </c>
      <c r="E45" s="17">
        <v>0</v>
      </c>
      <c r="F45" s="17">
        <v>0</v>
      </c>
      <c r="G45" s="17">
        <v>0</v>
      </c>
      <c r="H45" s="17">
        <v>0</v>
      </c>
      <c r="I45" s="17">
        <v>0</v>
      </c>
      <c r="J45" s="17">
        <v>0</v>
      </c>
      <c r="K45" s="17">
        <v>0</v>
      </c>
      <c r="L45" s="17">
        <v>0</v>
      </c>
      <c r="M45" s="17">
        <v>-1</v>
      </c>
      <c r="N45" s="17">
        <v>-1</v>
      </c>
      <c r="O45" s="17">
        <v>0</v>
      </c>
      <c r="P45" s="17">
        <v>0</v>
      </c>
      <c r="Q45" s="17">
        <v>0</v>
      </c>
      <c r="R45" s="17">
        <v>1</v>
      </c>
      <c r="T45" s="9" t="str">
        <v>x43</v>
      </c>
      <c r="W45" s="9">
        <v>0</v>
      </c>
    </row>
    <row r="46" spans="3:23" x14ac:dyDescent="0.3">
      <c r="C46" s="17">
        <v>0</v>
      </c>
      <c r="D46" s="17">
        <v>0</v>
      </c>
      <c r="E46" s="17">
        <v>0</v>
      </c>
      <c r="F46" s="17">
        <v>0</v>
      </c>
      <c r="G46" s="17">
        <v>0</v>
      </c>
      <c r="H46" s="17">
        <v>0</v>
      </c>
      <c r="I46" s="17">
        <v>0</v>
      </c>
      <c r="J46" s="17">
        <v>0</v>
      </c>
      <c r="K46" s="17">
        <v>-1</v>
      </c>
      <c r="L46" s="17">
        <v>0</v>
      </c>
      <c r="M46" s="17">
        <v>0</v>
      </c>
      <c r="N46" s="17">
        <v>0</v>
      </c>
      <c r="O46" s="17">
        <v>-1</v>
      </c>
      <c r="P46" s="17">
        <v>1</v>
      </c>
      <c r="Q46" s="17">
        <v>0</v>
      </c>
      <c r="R46" s="17">
        <v>0</v>
      </c>
      <c r="T46" s="9" t="str">
        <v>x14</v>
      </c>
      <c r="W46" s="9">
        <v>0</v>
      </c>
    </row>
    <row r="47" spans="3:23" x14ac:dyDescent="0.3">
      <c r="C47" s="17">
        <v>0</v>
      </c>
      <c r="D47" s="17">
        <v>0</v>
      </c>
      <c r="E47" s="17">
        <v>0</v>
      </c>
      <c r="F47" s="17">
        <v>0</v>
      </c>
      <c r="G47" s="17">
        <v>0</v>
      </c>
      <c r="H47" s="17">
        <v>0</v>
      </c>
      <c r="I47" s="17">
        <v>0</v>
      </c>
      <c r="J47" s="17">
        <v>0</v>
      </c>
      <c r="K47" s="17">
        <v>0</v>
      </c>
      <c r="L47" s="17">
        <v>-1</v>
      </c>
      <c r="M47" s="17">
        <v>0</v>
      </c>
      <c r="N47" s="17">
        <v>0</v>
      </c>
      <c r="O47" s="17">
        <v>-1</v>
      </c>
      <c r="P47" s="17">
        <v>-1</v>
      </c>
      <c r="Q47" s="17">
        <v>0</v>
      </c>
      <c r="R47" s="17">
        <v>0</v>
      </c>
      <c r="T47" s="9" t="str">
        <v>x24</v>
      </c>
      <c r="W47" s="9">
        <v>0</v>
      </c>
    </row>
    <row r="48" spans="3:23" x14ac:dyDescent="0.3">
      <c r="C48" s="17">
        <v>0</v>
      </c>
      <c r="D48" s="17">
        <v>0</v>
      </c>
      <c r="E48" s="17">
        <v>0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0</v>
      </c>
      <c r="L48" s="17">
        <v>0</v>
      </c>
      <c r="M48" s="17">
        <v>-1</v>
      </c>
      <c r="N48" s="17">
        <v>0</v>
      </c>
      <c r="O48" s="17">
        <v>0</v>
      </c>
      <c r="P48" s="17">
        <v>0</v>
      </c>
      <c r="Q48" s="17">
        <v>-1</v>
      </c>
      <c r="R48" s="17">
        <v>1</v>
      </c>
      <c r="T48" s="9" t="str">
        <v>x34</v>
      </c>
      <c r="W48" s="9">
        <v>0</v>
      </c>
    </row>
    <row r="49" spans="3:23" x14ac:dyDescent="0.3">
      <c r="C49" s="17">
        <v>0</v>
      </c>
      <c r="D49" s="17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0</v>
      </c>
      <c r="K49" s="17">
        <v>0</v>
      </c>
      <c r="L49" s="17">
        <v>0</v>
      </c>
      <c r="M49" s="17">
        <v>0</v>
      </c>
      <c r="N49" s="17">
        <v>-1</v>
      </c>
      <c r="O49" s="17">
        <v>0</v>
      </c>
      <c r="P49" s="17">
        <v>0</v>
      </c>
      <c r="Q49" s="17">
        <v>-1</v>
      </c>
      <c r="R49" s="17">
        <v>-1</v>
      </c>
      <c r="T49" s="9" t="str">
        <v>x44</v>
      </c>
      <c r="W49" s="9">
        <v>-2</v>
      </c>
    </row>
    <row r="51" spans="3:23" x14ac:dyDescent="0.3">
      <c r="T51" s="9" t="str">
        <f t="shared" ref="T51:T66" si="4">T34</f>
        <v>x11</v>
      </c>
      <c r="V51" s="7" t="s">
        <v>5</v>
      </c>
      <c r="W51" s="9">
        <f t="array" ref="W51:W66">MMULT( MINVERSE(C34:R49), W34:W49)</f>
        <v>2</v>
      </c>
    </row>
    <row r="52" spans="3:23" x14ac:dyDescent="0.3">
      <c r="T52" s="9" t="str">
        <f t="shared" si="4"/>
        <v>x21</v>
      </c>
      <c r="W52" s="9">
        <v>5.5511151231257827E-17</v>
      </c>
    </row>
    <row r="53" spans="3:23" x14ac:dyDescent="0.3">
      <c r="T53" s="9" t="str">
        <f t="shared" si="4"/>
        <v>x31</v>
      </c>
      <c r="W53" s="9">
        <v>0</v>
      </c>
    </row>
    <row r="54" spans="3:23" x14ac:dyDescent="0.3">
      <c r="T54" s="9" t="str">
        <f t="shared" si="4"/>
        <v>x41</v>
      </c>
      <c r="W54" s="9">
        <v>0</v>
      </c>
    </row>
    <row r="55" spans="3:23" x14ac:dyDescent="0.3">
      <c r="T55" s="9" t="str">
        <f t="shared" si="4"/>
        <v>x12</v>
      </c>
      <c r="W55" s="9">
        <v>-1.1102230246251565E-16</v>
      </c>
    </row>
    <row r="56" spans="3:23" x14ac:dyDescent="0.3">
      <c r="T56" s="9" t="str">
        <f t="shared" si="4"/>
        <v>x22</v>
      </c>
      <c r="W56" s="9">
        <v>2</v>
      </c>
    </row>
    <row r="57" spans="3:23" x14ac:dyDescent="0.3">
      <c r="T57" s="9" t="str">
        <f t="shared" si="4"/>
        <v>x32</v>
      </c>
      <c r="W57" s="9">
        <v>0</v>
      </c>
    </row>
    <row r="58" spans="3:23" x14ac:dyDescent="0.3">
      <c r="T58" s="9" t="str">
        <f t="shared" si="4"/>
        <v>x42</v>
      </c>
      <c r="W58" s="9">
        <v>0</v>
      </c>
    </row>
    <row r="59" spans="3:23" x14ac:dyDescent="0.3">
      <c r="T59" s="9" t="str">
        <f t="shared" si="4"/>
        <v>x13</v>
      </c>
      <c r="W59" s="9">
        <v>0</v>
      </c>
    </row>
    <row r="60" spans="3:23" x14ac:dyDescent="0.3">
      <c r="T60" s="9" t="str">
        <f t="shared" si="4"/>
        <v>x23</v>
      </c>
      <c r="W60" s="9">
        <v>0</v>
      </c>
    </row>
    <row r="61" spans="3:23" x14ac:dyDescent="0.3">
      <c r="T61" s="9" t="str">
        <f t="shared" si="4"/>
        <v>x33</v>
      </c>
      <c r="W61" s="9">
        <v>2</v>
      </c>
    </row>
    <row r="62" spans="3:23" x14ac:dyDescent="0.3">
      <c r="T62" s="9" t="str">
        <f t="shared" si="4"/>
        <v>x43</v>
      </c>
      <c r="W62" s="9">
        <v>5.5511151231257827E-17</v>
      </c>
    </row>
    <row r="63" spans="3:23" x14ac:dyDescent="0.3">
      <c r="T63" s="9" t="str">
        <f t="shared" si="4"/>
        <v>x14</v>
      </c>
      <c r="W63" s="9">
        <v>0</v>
      </c>
    </row>
    <row r="64" spans="3:23" x14ac:dyDescent="0.3">
      <c r="T64" s="9" t="str">
        <f t="shared" si="4"/>
        <v>x24</v>
      </c>
      <c r="W64" s="9">
        <v>0</v>
      </c>
    </row>
    <row r="65" spans="4:31" x14ac:dyDescent="0.3">
      <c r="T65" s="9" t="str">
        <f t="shared" si="4"/>
        <v>x34</v>
      </c>
      <c r="W65" s="9">
        <v>-1.1102230246251565E-16</v>
      </c>
    </row>
    <row r="66" spans="4:31" x14ac:dyDescent="0.3">
      <c r="T66" s="9" t="str">
        <f t="shared" si="4"/>
        <v>x44</v>
      </c>
      <c r="W66" s="9">
        <v>2</v>
      </c>
    </row>
    <row r="68" spans="4:31" x14ac:dyDescent="0.3">
      <c r="P68" s="26" t="s">
        <v>70</v>
      </c>
      <c r="Q68" s="9" t="s">
        <v>46</v>
      </c>
      <c r="R68" s="9" t="s">
        <v>47</v>
      </c>
      <c r="S68" s="9" t="s">
        <v>48</v>
      </c>
      <c r="T68" s="9" t="s">
        <v>49</v>
      </c>
      <c r="V68" s="7" t="s">
        <v>5</v>
      </c>
      <c r="W68" s="18">
        <f t="shared" ref="W68:W71" si="5">W51</f>
        <v>2</v>
      </c>
      <c r="X68" s="18">
        <f t="shared" ref="X68:X71" si="6">W55</f>
        <v>-1.1102230246251565E-16</v>
      </c>
      <c r="Y68" s="17">
        <f t="shared" ref="Y68:Y71" si="7">W59</f>
        <v>0</v>
      </c>
      <c r="Z68" s="17">
        <f t="shared" ref="Z68:Z71" si="8">W63</f>
        <v>0</v>
      </c>
    </row>
    <row r="69" spans="4:31" x14ac:dyDescent="0.3">
      <c r="Q69" s="9" t="s">
        <v>50</v>
      </c>
      <c r="R69" s="9" t="s">
        <v>51</v>
      </c>
      <c r="S69" s="9" t="s">
        <v>52</v>
      </c>
      <c r="T69" s="9" t="s">
        <v>53</v>
      </c>
      <c r="W69" s="18">
        <f t="shared" si="5"/>
        <v>5.5511151231257827E-17</v>
      </c>
      <c r="X69" s="18">
        <f t="shared" si="6"/>
        <v>2</v>
      </c>
      <c r="Y69" s="17">
        <f t="shared" si="7"/>
        <v>0</v>
      </c>
      <c r="Z69" s="17">
        <f t="shared" si="8"/>
        <v>0</v>
      </c>
    </row>
    <row r="70" spans="4:31" x14ac:dyDescent="0.3">
      <c r="Q70" s="9" t="s">
        <v>54</v>
      </c>
      <c r="R70" s="9" t="s">
        <v>56</v>
      </c>
      <c r="S70" s="9" t="s">
        <v>57</v>
      </c>
      <c r="T70" s="9" t="s">
        <v>58</v>
      </c>
      <c r="W70" s="17">
        <f t="shared" si="5"/>
        <v>0</v>
      </c>
      <c r="X70" s="17">
        <f t="shared" si="6"/>
        <v>0</v>
      </c>
      <c r="Y70" s="21">
        <f t="shared" si="7"/>
        <v>2</v>
      </c>
      <c r="Z70" s="21">
        <f t="shared" si="8"/>
        <v>-1.1102230246251565E-16</v>
      </c>
    </row>
    <row r="71" spans="4:31" x14ac:dyDescent="0.3">
      <c r="Q71" s="9" t="s">
        <v>55</v>
      </c>
      <c r="R71" s="9" t="s">
        <v>59</v>
      </c>
      <c r="S71" s="9" t="s">
        <v>60</v>
      </c>
      <c r="T71" s="9" t="s">
        <v>61</v>
      </c>
      <c r="W71" s="17">
        <f t="shared" si="5"/>
        <v>0</v>
      </c>
      <c r="X71" s="17">
        <f t="shared" si="6"/>
        <v>0</v>
      </c>
      <c r="Y71" s="47">
        <f t="shared" si="7"/>
        <v>5.5511151231257827E-17</v>
      </c>
      <c r="Z71" s="21">
        <f t="shared" si="8"/>
        <v>2</v>
      </c>
      <c r="AE71" s="20"/>
    </row>
    <row r="74" spans="4:31" x14ac:dyDescent="0.3">
      <c r="V74" s="24" t="s">
        <v>64</v>
      </c>
      <c r="W74" s="29">
        <f t="array" ref="W74">MDETERM(W68:X69)</f>
        <v>4</v>
      </c>
    </row>
    <row r="80" spans="4:31" x14ac:dyDescent="0.3">
      <c r="D80" s="68" t="s">
        <v>0</v>
      </c>
      <c r="E80" s="68"/>
      <c r="F80" s="68"/>
      <c r="G80" s="68"/>
      <c r="H80" s="7" t="s">
        <v>45</v>
      </c>
      <c r="I80" s="68" t="s">
        <v>65</v>
      </c>
      <c r="J80" s="68"/>
      <c r="K80" s="68"/>
      <c r="L80" s="68"/>
      <c r="M80" s="32" t="s">
        <v>3</v>
      </c>
      <c r="N80" s="68" t="s">
        <v>65</v>
      </c>
      <c r="O80" s="68"/>
      <c r="P80" s="68"/>
      <c r="Q80" s="68"/>
      <c r="R80" s="7" t="s">
        <v>45</v>
      </c>
      <c r="S80" s="68" t="s">
        <v>15</v>
      </c>
      <c r="T80" s="68"/>
      <c r="U80" s="68"/>
      <c r="V80" s="68"/>
      <c r="W80" s="7" t="s">
        <v>5</v>
      </c>
      <c r="X80" s="68" t="s">
        <v>66</v>
      </c>
      <c r="Y80" s="68"/>
      <c r="Z80" s="68"/>
      <c r="AA80" s="68"/>
    </row>
    <row r="81" spans="4:23" x14ac:dyDescent="0.3">
      <c r="D81" s="36">
        <f t="array" ref="D81:G84">O17:R20</f>
        <v>-0.5</v>
      </c>
      <c r="E81" s="36">
        <v>1</v>
      </c>
      <c r="F81" s="36">
        <v>0</v>
      </c>
      <c r="G81" s="36">
        <v>0</v>
      </c>
      <c r="I81" s="36">
        <f t="array" ref="I81:L84">W68:Z71</f>
        <v>2</v>
      </c>
      <c r="J81" s="36">
        <v>-1.1102230246251565E-16</v>
      </c>
      <c r="K81" s="36">
        <v>0</v>
      </c>
      <c r="L81" s="36">
        <v>0</v>
      </c>
      <c r="M81" t="s">
        <v>3</v>
      </c>
      <c r="N81" s="36">
        <f t="array" ref="N81:Q84">I81:L84</f>
        <v>2</v>
      </c>
      <c r="O81" s="36">
        <v>-1.1102230246251565E-16</v>
      </c>
      <c r="P81" s="36">
        <v>0</v>
      </c>
      <c r="Q81" s="36">
        <v>0</v>
      </c>
      <c r="S81" s="36">
        <f t="array" ref="S81:V84">TRANSPOSE(D81:G84)</f>
        <v>-0.5</v>
      </c>
      <c r="T81" s="36">
        <v>-1</v>
      </c>
      <c r="U81" s="36">
        <v>0</v>
      </c>
      <c r="V81" s="36">
        <v>0</v>
      </c>
      <c r="W81" s="33" t="s">
        <v>5</v>
      </c>
    </row>
    <row r="82" spans="4:23" x14ac:dyDescent="0.3">
      <c r="D82" s="36">
        <v>-1</v>
      </c>
      <c r="E82" s="36">
        <v>-0.5</v>
      </c>
      <c r="F82" s="36">
        <v>0</v>
      </c>
      <c r="G82" s="36">
        <v>0</v>
      </c>
      <c r="I82" s="36">
        <v>5.5511151231257827E-17</v>
      </c>
      <c r="J82" s="36">
        <v>2</v>
      </c>
      <c r="K82" s="36">
        <v>0</v>
      </c>
      <c r="L82" s="36">
        <v>0</v>
      </c>
      <c r="N82" s="36">
        <v>5.5511151231257827E-17</v>
      </c>
      <c r="O82" s="36">
        <v>2</v>
      </c>
      <c r="P82" s="36">
        <v>0</v>
      </c>
      <c r="Q82" s="36">
        <v>0</v>
      </c>
      <c r="S82" s="36">
        <v>1</v>
      </c>
      <c r="T82" s="36">
        <v>-0.5</v>
      </c>
      <c r="U82" s="36">
        <v>0</v>
      </c>
      <c r="V82" s="36">
        <v>0</v>
      </c>
    </row>
    <row r="83" spans="4:23" x14ac:dyDescent="0.3">
      <c r="D83" s="36">
        <v>0</v>
      </c>
      <c r="E83" s="36">
        <v>0</v>
      </c>
      <c r="F83" s="48">
        <v>-0.5</v>
      </c>
      <c r="G83" s="36">
        <v>1</v>
      </c>
      <c r="I83" s="36">
        <v>0</v>
      </c>
      <c r="J83" s="36">
        <v>0</v>
      </c>
      <c r="K83" s="36">
        <v>2</v>
      </c>
      <c r="L83" s="36">
        <v>-1.1102230246251565E-16</v>
      </c>
      <c r="N83" s="36">
        <v>0</v>
      </c>
      <c r="O83" s="36">
        <v>0</v>
      </c>
      <c r="P83" s="37">
        <v>2</v>
      </c>
      <c r="Q83" s="36">
        <v>-1.1102230246251565E-16</v>
      </c>
      <c r="S83" s="36">
        <v>0</v>
      </c>
      <c r="T83" s="36">
        <v>0</v>
      </c>
      <c r="U83" s="36">
        <v>-0.5</v>
      </c>
      <c r="V83" s="36">
        <v>-1</v>
      </c>
    </row>
    <row r="84" spans="4:23" x14ac:dyDescent="0.3">
      <c r="D84" s="36">
        <v>0</v>
      </c>
      <c r="E84" s="36">
        <v>0</v>
      </c>
      <c r="F84" s="36">
        <v>-1</v>
      </c>
      <c r="G84" s="36">
        <v>-0.5</v>
      </c>
      <c r="I84" s="36">
        <v>0</v>
      </c>
      <c r="J84" s="36">
        <v>0</v>
      </c>
      <c r="K84" s="36">
        <v>5.5511151231257827E-17</v>
      </c>
      <c r="L84" s="36">
        <v>2</v>
      </c>
      <c r="N84" s="36">
        <v>0</v>
      </c>
      <c r="O84" s="36">
        <v>0</v>
      </c>
      <c r="P84" s="36">
        <v>5.5511151231257827E-17</v>
      </c>
      <c r="Q84" s="36">
        <v>2</v>
      </c>
      <c r="S84" s="36">
        <v>0</v>
      </c>
      <c r="T84" s="36">
        <v>0</v>
      </c>
      <c r="U84" s="36">
        <v>1</v>
      </c>
      <c r="V84" s="36">
        <v>-0.5</v>
      </c>
    </row>
    <row r="85" spans="4:23" x14ac:dyDescent="0.3">
      <c r="D85" s="36"/>
      <c r="E85" s="36"/>
      <c r="F85" s="36"/>
      <c r="G85" s="36"/>
      <c r="I85" s="36"/>
      <c r="J85" s="36"/>
      <c r="K85" s="36"/>
      <c r="L85" s="36"/>
      <c r="N85" s="36"/>
      <c r="O85" s="36"/>
      <c r="P85" s="36"/>
      <c r="Q85" s="36"/>
      <c r="S85" s="36"/>
      <c r="T85" s="36"/>
      <c r="U85" s="36"/>
      <c r="V85" s="36"/>
    </row>
    <row r="86" spans="4:23" x14ac:dyDescent="0.3">
      <c r="D86" s="68" t="s">
        <v>80</v>
      </c>
      <c r="E86" s="68"/>
      <c r="F86" s="68"/>
      <c r="G86" s="68"/>
      <c r="I86" s="36"/>
      <c r="N86" s="68" t="s">
        <v>81</v>
      </c>
      <c r="O86" s="68"/>
      <c r="P86" s="68"/>
      <c r="Q86" s="68"/>
    </row>
    <row r="87" spans="4:23" x14ac:dyDescent="0.3">
      <c r="D87" s="36">
        <f t="array" ref="D87:G90">MMULT(D81:G84,I81:L84)</f>
        <v>-1</v>
      </c>
      <c r="E87" s="36">
        <v>2</v>
      </c>
      <c r="F87" s="36">
        <v>0</v>
      </c>
      <c r="G87" s="36">
        <v>0</v>
      </c>
      <c r="N87" s="36">
        <f t="array" ref="N87:Q90">MMULT(N81:Q84,S81:V84)</f>
        <v>-1</v>
      </c>
      <c r="O87" s="36">
        <v>-2</v>
      </c>
      <c r="P87" s="36">
        <v>0</v>
      </c>
      <c r="Q87" s="36">
        <v>0</v>
      </c>
    </row>
    <row r="88" spans="4:23" x14ac:dyDescent="0.3">
      <c r="D88" s="36">
        <v>-2</v>
      </c>
      <c r="E88" s="36">
        <v>-0.99999999999999989</v>
      </c>
      <c r="F88" s="36">
        <v>0</v>
      </c>
      <c r="G88" s="36">
        <v>0</v>
      </c>
      <c r="N88" s="36">
        <v>2</v>
      </c>
      <c r="O88" s="36">
        <v>-1</v>
      </c>
      <c r="P88" s="36">
        <v>0</v>
      </c>
      <c r="Q88" s="36">
        <v>0</v>
      </c>
    </row>
    <row r="89" spans="4:23" x14ac:dyDescent="0.3">
      <c r="D89" s="36">
        <v>0</v>
      </c>
      <c r="E89" s="36">
        <v>0</v>
      </c>
      <c r="F89" s="36">
        <v>-1</v>
      </c>
      <c r="G89" s="36">
        <v>2</v>
      </c>
      <c r="N89" s="36">
        <v>0</v>
      </c>
      <c r="O89" s="36">
        <v>0</v>
      </c>
      <c r="P89" s="36">
        <v>-1</v>
      </c>
      <c r="Q89" s="36">
        <v>-2</v>
      </c>
    </row>
    <row r="90" spans="4:23" x14ac:dyDescent="0.3">
      <c r="D90" s="36">
        <v>0</v>
      </c>
      <c r="E90" s="36">
        <v>0</v>
      </c>
      <c r="F90" s="36">
        <v>-2</v>
      </c>
      <c r="G90" s="36">
        <v>-0.99999999999999989</v>
      </c>
      <c r="N90" s="36">
        <v>0</v>
      </c>
      <c r="O90" s="36">
        <v>0</v>
      </c>
      <c r="P90" s="36">
        <v>2</v>
      </c>
      <c r="Q90" s="36">
        <v>-1</v>
      </c>
    </row>
    <row r="91" spans="4:23" x14ac:dyDescent="0.3">
      <c r="D91" s="36"/>
      <c r="E91" s="36"/>
      <c r="F91" s="36"/>
      <c r="G91" s="36"/>
      <c r="N91" s="36"/>
      <c r="O91" s="36"/>
      <c r="P91" s="36"/>
      <c r="Q91" s="36"/>
    </row>
    <row r="92" spans="4:23" x14ac:dyDescent="0.3">
      <c r="D92" s="69" t="s">
        <v>66</v>
      </c>
      <c r="E92" s="68"/>
      <c r="F92" s="68"/>
      <c r="G92" s="68"/>
    </row>
    <row r="93" spans="4:23" x14ac:dyDescent="0.3">
      <c r="D93" s="36">
        <f t="array" ref="D93:G96">D87:G90+N87:Q90</f>
        <v>-2</v>
      </c>
      <c r="E93" s="36">
        <v>0</v>
      </c>
      <c r="F93" s="36">
        <v>0</v>
      </c>
      <c r="G93" s="36">
        <v>0</v>
      </c>
    </row>
    <row r="94" spans="4:23" x14ac:dyDescent="0.3">
      <c r="D94" s="36">
        <v>0</v>
      </c>
      <c r="E94" s="36">
        <v>-2</v>
      </c>
      <c r="F94" s="36">
        <v>0</v>
      </c>
      <c r="G94" s="36">
        <v>0</v>
      </c>
    </row>
    <row r="95" spans="4:23" x14ac:dyDescent="0.3">
      <c r="D95" s="36">
        <v>0</v>
      </c>
      <c r="E95" s="36">
        <v>0</v>
      </c>
      <c r="F95" s="36">
        <v>-2</v>
      </c>
      <c r="G95" s="36">
        <v>0</v>
      </c>
    </row>
    <row r="96" spans="4:23" x14ac:dyDescent="0.3">
      <c r="D96" s="36">
        <v>0</v>
      </c>
      <c r="E96" s="36">
        <v>0</v>
      </c>
      <c r="F96" s="36">
        <v>0</v>
      </c>
      <c r="G96" s="36">
        <v>-2</v>
      </c>
    </row>
    <row r="98" spans="4:13" x14ac:dyDescent="0.3">
      <c r="D98" t="b">
        <f t="array" ref="D98:G101">ROUND(D93:G96,2)=-C11:F14</f>
        <v>1</v>
      </c>
      <c r="E98" t="b">
        <v>1</v>
      </c>
      <c r="F98" t="b">
        <v>1</v>
      </c>
      <c r="G98" t="b">
        <v>1</v>
      </c>
    </row>
    <row r="99" spans="4:13" x14ac:dyDescent="0.3">
      <c r="D99" t="b">
        <v>1</v>
      </c>
      <c r="E99" t="b">
        <v>1</v>
      </c>
      <c r="F99" t="b">
        <v>1</v>
      </c>
      <c r="G99" t="b">
        <v>1</v>
      </c>
    </row>
    <row r="100" spans="4:13" x14ac:dyDescent="0.3">
      <c r="D100" t="b">
        <v>1</v>
      </c>
      <c r="E100" t="b">
        <v>1</v>
      </c>
      <c r="F100" t="b">
        <v>1</v>
      </c>
      <c r="G100" t="b">
        <v>1</v>
      </c>
    </row>
    <row r="101" spans="4:13" x14ac:dyDescent="0.3">
      <c r="D101" t="b">
        <v>1</v>
      </c>
      <c r="E101" t="b">
        <v>1</v>
      </c>
      <c r="F101" t="b">
        <v>1</v>
      </c>
      <c r="G101" t="b">
        <v>1</v>
      </c>
    </row>
    <row r="109" spans="4:13" x14ac:dyDescent="0.3">
      <c r="H109" s="33"/>
      <c r="M109" s="33"/>
    </row>
  </sheetData>
  <mergeCells count="15">
    <mergeCell ref="X80:AA80"/>
    <mergeCell ref="D86:G86"/>
    <mergeCell ref="N86:Q86"/>
    <mergeCell ref="D92:G92"/>
    <mergeCell ref="H16:K16"/>
    <mergeCell ref="D80:G80"/>
    <mergeCell ref="I80:L80"/>
    <mergeCell ref="N80:Q80"/>
    <mergeCell ref="S80:V80"/>
    <mergeCell ref="W27:Z27"/>
    <mergeCell ref="C33:R33"/>
    <mergeCell ref="C27:F27"/>
    <mergeCell ref="H27:K27"/>
    <mergeCell ref="M27:P27"/>
    <mergeCell ref="R27:U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H124"/>
  <sheetViews>
    <sheetView tabSelected="1" topLeftCell="B2" zoomScale="110" zoomScaleNormal="110" workbookViewId="0">
      <selection activeCell="M13" sqref="M13"/>
    </sheetView>
  </sheetViews>
  <sheetFormatPr defaultRowHeight="14.4" x14ac:dyDescent="0.3"/>
  <cols>
    <col min="1" max="1" width="11.5546875" customWidth="1"/>
    <col min="2" max="2" width="9.6640625" customWidth="1"/>
    <col min="3" max="3" width="7.77734375" customWidth="1"/>
    <col min="4" max="6" width="8.5546875" customWidth="1"/>
    <col min="7" max="7" width="13.33203125" customWidth="1"/>
    <col min="8" max="11" width="8.88671875" customWidth="1"/>
    <col min="12" max="12" width="8.5546875" customWidth="1"/>
    <col min="13" max="13" width="9.5546875" bestFit="1" customWidth="1"/>
    <col min="14" max="14" width="11.88671875" customWidth="1"/>
    <col min="15" max="18" width="8.109375" customWidth="1"/>
    <col min="19" max="22" width="8.5546875" customWidth="1"/>
    <col min="23" max="23" width="6.5546875" customWidth="1"/>
    <col min="24" max="24" width="8.6640625" customWidth="1"/>
    <col min="25" max="25" width="11" customWidth="1"/>
    <col min="26" max="26" width="10.6640625" customWidth="1"/>
    <col min="27" max="29" width="5.5546875" customWidth="1"/>
    <col min="30" max="30" width="11.5546875" customWidth="1"/>
  </cols>
  <sheetData>
    <row r="1" spans="1:29" x14ac:dyDescent="0.3">
      <c r="A1" s="25">
        <f>$W$78*100</f>
        <v>231.49147033691398</v>
      </c>
      <c r="I1" s="31">
        <v>1</v>
      </c>
      <c r="J1" s="31">
        <v>0</v>
      </c>
      <c r="K1" s="31">
        <f>I1</f>
        <v>1</v>
      </c>
      <c r="L1" s="31">
        <f>I1</f>
        <v>1</v>
      </c>
      <c r="M1" s="31">
        <v>0</v>
      </c>
      <c r="N1" s="31">
        <v>0</v>
      </c>
      <c r="O1" s="31">
        <f>M1</f>
        <v>0</v>
      </c>
      <c r="P1" s="31">
        <f>I1</f>
        <v>1</v>
      </c>
      <c r="Q1" s="31">
        <v>0</v>
      </c>
      <c r="R1" s="31">
        <f>N1</f>
        <v>0</v>
      </c>
    </row>
    <row r="2" spans="1:29" x14ac:dyDescent="0.3">
      <c r="A2" t="s">
        <v>89</v>
      </c>
      <c r="D2" s="13"/>
      <c r="E2" s="13"/>
      <c r="F2" s="13"/>
      <c r="G2" s="13"/>
      <c r="H2" s="13"/>
      <c r="I2" s="14" t="s">
        <v>29</v>
      </c>
      <c r="J2" s="14" t="s">
        <v>32</v>
      </c>
      <c r="K2" s="14" t="s">
        <v>31</v>
      </c>
      <c r="L2" s="14" t="s">
        <v>30</v>
      </c>
      <c r="M2" s="14" t="s">
        <v>33</v>
      </c>
      <c r="N2" s="14" t="s">
        <v>34</v>
      </c>
      <c r="O2" s="14" t="s">
        <v>35</v>
      </c>
      <c r="P2" s="14" t="s">
        <v>36</v>
      </c>
      <c r="Q2" s="14" t="s">
        <v>37</v>
      </c>
      <c r="R2" s="14" t="s">
        <v>38</v>
      </c>
    </row>
    <row r="3" spans="1:29" x14ac:dyDescent="0.3">
      <c r="D3" s="39"/>
      <c r="E3" s="39"/>
      <c r="F3" s="39"/>
      <c r="G3" s="39"/>
      <c r="H3" s="39"/>
      <c r="I3" s="23">
        <f>SQRT(7)</f>
        <v>2.6457513110645907</v>
      </c>
      <c r="J3" s="23">
        <v>0</v>
      </c>
      <c r="K3" s="23">
        <f>I3</f>
        <v>2.6457513110645907</v>
      </c>
      <c r="L3" s="23">
        <f>I3</f>
        <v>2.6457513110645907</v>
      </c>
      <c r="M3" s="23">
        <v>0</v>
      </c>
      <c r="N3" s="23">
        <v>0</v>
      </c>
      <c r="O3" s="23">
        <f>M3</f>
        <v>0</v>
      </c>
      <c r="P3" s="23">
        <f>I3</f>
        <v>2.6457513110645907</v>
      </c>
      <c r="Q3" s="23">
        <f>-O3</f>
        <v>0</v>
      </c>
      <c r="R3" s="23">
        <f>N3</f>
        <v>0</v>
      </c>
      <c r="V3" s="24" t="s">
        <v>64</v>
      </c>
      <c r="W3" s="57">
        <f t="array" ref="W3">MDETERM(W72:X73)</f>
        <v>2.3149147033691397</v>
      </c>
      <c r="X3" s="30"/>
    </row>
    <row r="4" spans="1:29" x14ac:dyDescent="0.3">
      <c r="B4" s="6"/>
      <c r="P4" s="19"/>
      <c r="V4" s="24" t="s">
        <v>87</v>
      </c>
      <c r="W4" s="58">
        <f>POWER(SUM(C11:C12)/SUM(C18:C19),2)</f>
        <v>1.890625</v>
      </c>
    </row>
    <row r="5" spans="1:29" ht="16.2" x14ac:dyDescent="0.3">
      <c r="B5" s="6" t="s">
        <v>39</v>
      </c>
      <c r="C5" s="9" t="s">
        <v>29</v>
      </c>
      <c r="D5" s="8">
        <v>0</v>
      </c>
      <c r="E5" s="8">
        <v>0</v>
      </c>
      <c r="F5" s="8">
        <v>0</v>
      </c>
      <c r="G5" s="40" t="s">
        <v>5</v>
      </c>
      <c r="H5" s="9">
        <f>I3</f>
        <v>2.6457513110645907</v>
      </c>
      <c r="I5" s="8">
        <v>0</v>
      </c>
      <c r="J5" s="8">
        <v>0</v>
      </c>
      <c r="K5" s="8">
        <v>0</v>
      </c>
      <c r="N5" s="6" t="s">
        <v>40</v>
      </c>
      <c r="O5" s="22">
        <f t="array" ref="O5:R8">MMULT(H5:K8, TRANSPOSE(H5:K8))</f>
        <v>7.0000000000000009</v>
      </c>
      <c r="P5" s="22">
        <v>0</v>
      </c>
      <c r="Q5" s="22">
        <v>7.0000000000000009</v>
      </c>
      <c r="R5" s="22">
        <v>0</v>
      </c>
    </row>
    <row r="6" spans="1:29" x14ac:dyDescent="0.3">
      <c r="C6" s="9" t="s">
        <v>32</v>
      </c>
      <c r="D6" s="9" t="s">
        <v>31</v>
      </c>
      <c r="E6" s="8">
        <v>0</v>
      </c>
      <c r="F6" s="8">
        <v>0</v>
      </c>
      <c r="H6" s="9">
        <f>J3</f>
        <v>0</v>
      </c>
      <c r="I6" s="9">
        <f>K3</f>
        <v>2.6457513110645907</v>
      </c>
      <c r="J6" s="8">
        <v>0</v>
      </c>
      <c r="K6" s="8">
        <v>0</v>
      </c>
      <c r="O6" s="22">
        <v>0</v>
      </c>
      <c r="P6" s="22">
        <v>7.0000000000000009</v>
      </c>
      <c r="Q6" s="22">
        <v>0</v>
      </c>
      <c r="R6" s="22">
        <v>7.0000000000000009</v>
      </c>
    </row>
    <row r="7" spans="1:29" x14ac:dyDescent="0.3">
      <c r="C7" s="9" t="s">
        <v>30</v>
      </c>
      <c r="D7" s="9" t="s">
        <v>33</v>
      </c>
      <c r="E7" s="9" t="s">
        <v>34</v>
      </c>
      <c r="F7" s="8">
        <v>0</v>
      </c>
      <c r="H7" s="9">
        <f>L3</f>
        <v>2.6457513110645907</v>
      </c>
      <c r="I7" s="9">
        <f>M3</f>
        <v>0</v>
      </c>
      <c r="J7" s="9">
        <f>N3</f>
        <v>0</v>
      </c>
      <c r="K7" s="8">
        <v>0</v>
      </c>
      <c r="O7" s="22">
        <v>7.0000000000000009</v>
      </c>
      <c r="P7" s="22">
        <v>0</v>
      </c>
      <c r="Q7" s="22">
        <v>7.0000000000000009</v>
      </c>
      <c r="R7" s="22">
        <v>0</v>
      </c>
    </row>
    <row r="8" spans="1:29" x14ac:dyDescent="0.3">
      <c r="C8" s="9" t="s">
        <v>35</v>
      </c>
      <c r="D8" s="9" t="s">
        <v>36</v>
      </c>
      <c r="E8" s="9" t="s">
        <v>37</v>
      </c>
      <c r="F8" s="9" t="s">
        <v>38</v>
      </c>
      <c r="H8" s="9">
        <f>O3</f>
        <v>0</v>
      </c>
      <c r="I8" s="9">
        <f>P3</f>
        <v>2.6457513110645907</v>
      </c>
      <c r="J8" s="9">
        <f>Q3</f>
        <v>0</v>
      </c>
      <c r="K8" s="9">
        <f>R3</f>
        <v>0</v>
      </c>
      <c r="O8" s="22">
        <v>0</v>
      </c>
      <c r="P8" s="22">
        <v>7.0000000000000009</v>
      </c>
      <c r="Q8" s="22">
        <v>0</v>
      </c>
      <c r="R8" s="22">
        <v>7.0000000000000009</v>
      </c>
    </row>
    <row r="9" spans="1:29" x14ac:dyDescent="0.3">
      <c r="O9" s="37"/>
      <c r="P9" s="49"/>
      <c r="Q9" s="19"/>
      <c r="R9" s="48"/>
    </row>
    <row r="10" spans="1:29" x14ac:dyDescent="0.3">
      <c r="K10" s="73" t="s">
        <v>93</v>
      </c>
      <c r="L10">
        <f>(1 + Kappa1*Kappa2/(4*N*N))</f>
        <v>1.3061224489795917</v>
      </c>
      <c r="N10" s="49"/>
      <c r="O10" s="37"/>
      <c r="Q10" s="37"/>
      <c r="R10" s="48"/>
    </row>
    <row r="11" spans="1:29" x14ac:dyDescent="0.3">
      <c r="B11" s="6" t="s">
        <v>82</v>
      </c>
      <c r="C11" s="10">
        <v>12</v>
      </c>
      <c r="E11" s="65"/>
      <c r="H11" s="20"/>
      <c r="I11" s="20"/>
      <c r="N11" s="49"/>
      <c r="O11" s="37"/>
    </row>
    <row r="12" spans="1:29" x14ac:dyDescent="0.3">
      <c r="B12" s="6" t="s">
        <v>83</v>
      </c>
      <c r="C12" s="10">
        <v>10</v>
      </c>
      <c r="E12">
        <f>(Chi_1+Chi_2) / (Kappa1+Kappa2)</f>
        <v>1.375</v>
      </c>
      <c r="H12" s="67">
        <f>(E12 + Chi_1*Kappa2/(4*N*N))   /  L10</f>
        <v>1.521484375</v>
      </c>
    </row>
    <row r="13" spans="1:29" x14ac:dyDescent="0.3">
      <c r="B13" s="6" t="s">
        <v>44</v>
      </c>
      <c r="C13" s="9">
        <f>C11</f>
        <v>12</v>
      </c>
      <c r="D13" s="10">
        <v>0</v>
      </c>
      <c r="E13" s="10">
        <v>0</v>
      </c>
      <c r="F13" s="10">
        <v>0</v>
      </c>
      <c r="H13" s="66">
        <f t="shared" ref="H13:K16" si="0">W72</f>
        <v>1.5214843749999998</v>
      </c>
      <c r="I13" s="20">
        <f t="shared" si="0"/>
        <v>-6.9388939039072284E-17</v>
      </c>
      <c r="J13" s="20">
        <f t="shared" si="0"/>
        <v>1.6653345369377348E-16</v>
      </c>
      <c r="K13" s="66">
        <f t="shared" si="0"/>
        <v>-0.205078125</v>
      </c>
      <c r="L13" s="74">
        <f>(Chi_1*Kappa2-Kappa1*Chi_2)/((Kappa1+Kappa2)*2*N)/L10</f>
        <v>0.205078125</v>
      </c>
      <c r="N13" s="6" t="s">
        <v>41</v>
      </c>
      <c r="O13" s="34">
        <v>0</v>
      </c>
      <c r="P13" s="34">
        <v>1</v>
      </c>
      <c r="Q13" s="8">
        <v>0</v>
      </c>
      <c r="R13" s="8">
        <v>0</v>
      </c>
      <c r="U13" s="9" t="s">
        <v>29</v>
      </c>
      <c r="V13" s="8">
        <v>0</v>
      </c>
      <c r="W13" s="8">
        <v>0</v>
      </c>
      <c r="X13" s="8">
        <v>0</v>
      </c>
      <c r="Z13" s="9" t="s">
        <v>29</v>
      </c>
      <c r="AA13" s="9" t="s">
        <v>32</v>
      </c>
      <c r="AB13" s="9" t="s">
        <v>30</v>
      </c>
      <c r="AC13" s="9" t="s">
        <v>35</v>
      </c>
    </row>
    <row r="14" spans="1:29" x14ac:dyDescent="0.3">
      <c r="C14" s="10">
        <v>0</v>
      </c>
      <c r="D14" s="9">
        <f>C13</f>
        <v>12</v>
      </c>
      <c r="E14" s="10">
        <v>0</v>
      </c>
      <c r="F14" s="10">
        <v>0</v>
      </c>
      <c r="H14" s="20">
        <f t="shared" si="0"/>
        <v>2.7755575615628914E-17</v>
      </c>
      <c r="I14" s="20">
        <f t="shared" si="0"/>
        <v>1.5214843749999998</v>
      </c>
      <c r="J14" s="20">
        <f t="shared" si="0"/>
        <v>0.20507812500000008</v>
      </c>
      <c r="K14" s="20">
        <f t="shared" si="0"/>
        <v>1.6653345369377348E-16</v>
      </c>
      <c r="L14" s="20"/>
      <c r="O14" s="34">
        <v>-1</v>
      </c>
      <c r="P14" s="34">
        <v>0</v>
      </c>
      <c r="Q14" s="8">
        <v>0</v>
      </c>
      <c r="R14" s="8">
        <v>0</v>
      </c>
      <c r="U14" s="9" t="s">
        <v>32</v>
      </c>
      <c r="V14" s="9" t="s">
        <v>31</v>
      </c>
      <c r="W14" s="8">
        <v>0</v>
      </c>
      <c r="X14" s="8">
        <v>0</v>
      </c>
      <c r="Z14" s="8">
        <v>0</v>
      </c>
      <c r="AA14" s="9" t="s">
        <v>31</v>
      </c>
      <c r="AB14" s="9" t="s">
        <v>33</v>
      </c>
      <c r="AC14" s="9" t="s">
        <v>36</v>
      </c>
    </row>
    <row r="15" spans="1:29" x14ac:dyDescent="0.3">
      <c r="C15" s="10">
        <v>0</v>
      </c>
      <c r="D15" s="10">
        <v>0</v>
      </c>
      <c r="E15" s="9">
        <f>C12</f>
        <v>10</v>
      </c>
      <c r="F15" s="10">
        <v>0</v>
      </c>
      <c r="H15" s="20">
        <f t="shared" si="0"/>
        <v>8.3266726846886741E-17</v>
      </c>
      <c r="I15" s="20">
        <f t="shared" si="0"/>
        <v>0.20507812500000011</v>
      </c>
      <c r="J15" s="20">
        <f t="shared" si="0"/>
        <v>1.287109375</v>
      </c>
      <c r="K15" s="20">
        <f t="shared" si="0"/>
        <v>-1.3877787807814457E-16</v>
      </c>
      <c r="O15" s="8">
        <v>0</v>
      </c>
      <c r="P15" s="8">
        <v>0</v>
      </c>
      <c r="Q15" s="34">
        <v>0</v>
      </c>
      <c r="R15" s="34">
        <v>1</v>
      </c>
      <c r="U15" s="9" t="s">
        <v>30</v>
      </c>
      <c r="V15" s="9" t="s">
        <v>33</v>
      </c>
      <c r="W15" s="9" t="s">
        <v>34</v>
      </c>
      <c r="X15" s="8">
        <v>0</v>
      </c>
      <c r="Z15" s="8">
        <v>0</v>
      </c>
      <c r="AA15" s="8">
        <v>0</v>
      </c>
      <c r="AB15" s="9" t="s">
        <v>34</v>
      </c>
      <c r="AC15" s="9" t="s">
        <v>37</v>
      </c>
    </row>
    <row r="16" spans="1:29" x14ac:dyDescent="0.3">
      <c r="C16" s="10">
        <v>0</v>
      </c>
      <c r="D16" s="10">
        <v>0</v>
      </c>
      <c r="E16" s="10">
        <v>0</v>
      </c>
      <c r="F16" s="9">
        <f>E15</f>
        <v>10</v>
      </c>
      <c r="H16" s="20">
        <f t="shared" si="0"/>
        <v>-0.20507812499999992</v>
      </c>
      <c r="I16" s="20">
        <f t="shared" si="0"/>
        <v>1.9428902930940239E-16</v>
      </c>
      <c r="J16" s="20">
        <f t="shared" si="0"/>
        <v>0</v>
      </c>
      <c r="K16" s="66">
        <f t="shared" si="0"/>
        <v>1.287109375</v>
      </c>
      <c r="L16" s="66">
        <f>(E12 + Chi_2*Kappa1/(4*N*N))   / L10</f>
        <v>1.287109375</v>
      </c>
      <c r="M16" s="20"/>
      <c r="O16" s="8">
        <v>0</v>
      </c>
      <c r="P16" s="8">
        <v>0</v>
      </c>
      <c r="Q16" s="34">
        <v>-1</v>
      </c>
      <c r="R16" s="34">
        <v>0</v>
      </c>
      <c r="U16" s="9" t="s">
        <v>35</v>
      </c>
      <c r="V16" s="9" t="s">
        <v>36</v>
      </c>
      <c r="W16" s="9" t="s">
        <v>37</v>
      </c>
      <c r="X16" s="9" t="s">
        <v>38</v>
      </c>
      <c r="Z16" s="8">
        <v>0</v>
      </c>
      <c r="AA16" s="8">
        <v>0</v>
      </c>
      <c r="AB16" s="8">
        <v>0</v>
      </c>
      <c r="AC16" s="9" t="s">
        <v>38</v>
      </c>
    </row>
    <row r="17" spans="2:26" x14ac:dyDescent="0.3">
      <c r="H17" s="54"/>
      <c r="I17" s="60"/>
      <c r="M17" s="49"/>
    </row>
    <row r="18" spans="2:26" x14ac:dyDescent="0.3">
      <c r="B18" s="6" t="s">
        <v>84</v>
      </c>
      <c r="C18" s="10">
        <v>6</v>
      </c>
      <c r="E18" s="19"/>
      <c r="F18">
        <f>(1+Chi_1-Chi_2) / (4*N)</f>
        <v>0.10714285714285712</v>
      </c>
      <c r="M18" s="20"/>
    </row>
    <row r="19" spans="2:26" x14ac:dyDescent="0.3">
      <c r="B19" s="6" t="s">
        <v>85</v>
      </c>
      <c r="C19" s="10">
        <v>10</v>
      </c>
    </row>
    <row r="20" spans="2:26" x14ac:dyDescent="0.3">
      <c r="C20" s="10">
        <v>-0.5</v>
      </c>
      <c r="H20" s="70" t="s">
        <v>79</v>
      </c>
      <c r="I20" s="68"/>
      <c r="J20" s="68"/>
      <c r="K20" s="68"/>
      <c r="U20" s="71" t="s">
        <v>91</v>
      </c>
      <c r="V20" s="72">
        <f>0.5*(C18+C19)</f>
        <v>8</v>
      </c>
    </row>
    <row r="21" spans="2:26" x14ac:dyDescent="0.3">
      <c r="B21" s="6" t="s">
        <v>42</v>
      </c>
      <c r="C21" s="11">
        <f>C20*C18</f>
        <v>-3</v>
      </c>
      <c r="D21" s="10">
        <v>0</v>
      </c>
      <c r="E21" s="10">
        <v>0</v>
      </c>
      <c r="F21" s="10">
        <v>0</v>
      </c>
      <c r="G21" s="40" t="s">
        <v>3</v>
      </c>
      <c r="H21" s="17">
        <f t="array" ref="H21:K24">MMULT(Symplectic, Hamiltonian)</f>
        <v>0</v>
      </c>
      <c r="I21" s="17">
        <v>7.0000000000000009</v>
      </c>
      <c r="J21" s="17">
        <v>0</v>
      </c>
      <c r="K21" s="17">
        <v>7.0000000000000009</v>
      </c>
      <c r="M21" s="40" t="s">
        <v>5</v>
      </c>
      <c r="O21" s="17">
        <f>C21 + H21</f>
        <v>-3</v>
      </c>
      <c r="P21" s="17">
        <f>D21 + I21</f>
        <v>7.0000000000000009</v>
      </c>
      <c r="Q21" s="17">
        <f t="shared" ref="P21:R24" si="1">E21 + J21</f>
        <v>0</v>
      </c>
      <c r="R21" s="17">
        <f t="shared" si="1"/>
        <v>7.0000000000000009</v>
      </c>
      <c r="U21" s="71"/>
      <c r="V21" s="72">
        <f>2*O5^2 * SUM(C11:C12) + C11*C19*V20</f>
        <v>3116.0000000000005</v>
      </c>
    </row>
    <row r="22" spans="2:26" x14ac:dyDescent="0.3">
      <c r="C22" s="10">
        <v>0</v>
      </c>
      <c r="D22" s="11">
        <f>C21</f>
        <v>-3</v>
      </c>
      <c r="E22" s="10">
        <v>0</v>
      </c>
      <c r="F22" s="10">
        <v>0</v>
      </c>
      <c r="H22" s="17">
        <v>-7.0000000000000009</v>
      </c>
      <c r="I22" s="17">
        <v>0</v>
      </c>
      <c r="J22" s="17">
        <v>-7.0000000000000009</v>
      </c>
      <c r="K22" s="17">
        <v>0</v>
      </c>
      <c r="O22" s="17">
        <f t="shared" ref="O22:O24" si="2">C22 + H22</f>
        <v>-7.0000000000000009</v>
      </c>
      <c r="P22" s="17">
        <f t="shared" si="1"/>
        <v>-3</v>
      </c>
      <c r="Q22" s="17">
        <f t="shared" si="1"/>
        <v>-7.0000000000000009</v>
      </c>
      <c r="R22" s="17">
        <f t="shared" si="1"/>
        <v>0</v>
      </c>
      <c r="U22" s="71"/>
      <c r="V22" s="72">
        <f>O5^2 * (4*V20) + C18*C19*V20</f>
        <v>2048.0000000000005</v>
      </c>
    </row>
    <row r="23" spans="2:26" x14ac:dyDescent="0.3">
      <c r="C23" s="10">
        <v>0</v>
      </c>
      <c r="D23" s="10">
        <v>0</v>
      </c>
      <c r="E23" s="11">
        <f>C20*C19</f>
        <v>-5</v>
      </c>
      <c r="F23" s="10">
        <v>0</v>
      </c>
      <c r="H23" s="22">
        <v>0</v>
      </c>
      <c r="I23" s="22">
        <v>7.0000000000000009</v>
      </c>
      <c r="J23" s="17">
        <v>0</v>
      </c>
      <c r="K23" s="17">
        <v>7.0000000000000009</v>
      </c>
      <c r="O23" s="17">
        <f t="shared" si="2"/>
        <v>0</v>
      </c>
      <c r="P23" s="17">
        <f t="shared" si="1"/>
        <v>7.0000000000000009</v>
      </c>
      <c r="Q23" s="17">
        <f t="shared" si="1"/>
        <v>-5</v>
      </c>
      <c r="R23" s="17">
        <f t="shared" si="1"/>
        <v>7.0000000000000009</v>
      </c>
      <c r="U23" s="71" t="s">
        <v>92</v>
      </c>
      <c r="V23" s="72">
        <f>V21/V22</f>
        <v>1.5214843749999998</v>
      </c>
    </row>
    <row r="24" spans="2:26" x14ac:dyDescent="0.3">
      <c r="C24" s="10">
        <v>0</v>
      </c>
      <c r="D24" s="10">
        <v>0</v>
      </c>
      <c r="E24" s="10">
        <v>0</v>
      </c>
      <c r="F24" s="11">
        <f>E23</f>
        <v>-5</v>
      </c>
      <c r="H24" s="22">
        <v>-7.0000000000000009</v>
      </c>
      <c r="I24" s="22">
        <v>0</v>
      </c>
      <c r="J24" s="17">
        <v>-7.0000000000000009</v>
      </c>
      <c r="K24" s="17">
        <v>0</v>
      </c>
      <c r="O24" s="17">
        <f t="shared" si="2"/>
        <v>-7.0000000000000009</v>
      </c>
      <c r="P24" s="17">
        <f t="shared" si="1"/>
        <v>0</v>
      </c>
      <c r="Q24" s="17">
        <f t="shared" si="1"/>
        <v>-7.0000000000000009</v>
      </c>
      <c r="R24" s="17">
        <f t="shared" si="1"/>
        <v>-5</v>
      </c>
      <c r="U24" s="72"/>
      <c r="V24" s="72" t="b">
        <f>V23=H13</f>
        <v>1</v>
      </c>
    </row>
    <row r="26" spans="2:26" x14ac:dyDescent="0.3">
      <c r="B26" s="6" t="s">
        <v>62</v>
      </c>
      <c r="C26" s="15">
        <v>1</v>
      </c>
      <c r="D26" s="16">
        <v>0</v>
      </c>
      <c r="E26" s="16">
        <v>0</v>
      </c>
      <c r="F26" s="16">
        <v>0</v>
      </c>
      <c r="H26">
        <f>SUM(Chi_1,Chi_2) / SUM(Kappa1,Kappa2)</f>
        <v>1.375</v>
      </c>
      <c r="I26">
        <v>0</v>
      </c>
      <c r="J26">
        <v>0</v>
      </c>
      <c r="K26">
        <f>(H12*Kappa1/2-Chi_1/2) / N</f>
        <v>-0.20507812499999997</v>
      </c>
      <c r="L26" s="36"/>
      <c r="O26">
        <f t="array" ref="O26:R29" xml:space="preserve"> MMULT(C32:F35,H26:K29) + MMULT(H26:K29, R32:U35)</f>
        <v>-11.12109375</v>
      </c>
      <c r="P26">
        <v>0</v>
      </c>
      <c r="Q26">
        <v>0</v>
      </c>
      <c r="R26">
        <v>1.640625</v>
      </c>
      <c r="U26">
        <f>Kappa1*H12</f>
        <v>9.12890625</v>
      </c>
      <c r="V26">
        <f>2*N*(H12-L16)</f>
        <v>3.2812500000000004</v>
      </c>
    </row>
    <row r="27" spans="2:26" x14ac:dyDescent="0.3">
      <c r="C27" s="16">
        <v>0</v>
      </c>
      <c r="D27" s="15">
        <v>1</v>
      </c>
      <c r="E27" s="16">
        <v>0</v>
      </c>
      <c r="F27" s="16">
        <v>0</v>
      </c>
      <c r="H27">
        <v>0</v>
      </c>
      <c r="I27">
        <f>H26</f>
        <v>1.375</v>
      </c>
      <c r="J27">
        <f>-K26</f>
        <v>0.20507812499999997</v>
      </c>
      <c r="K27">
        <v>0</v>
      </c>
      <c r="O27">
        <v>0</v>
      </c>
      <c r="P27">
        <v>-11.12109375</v>
      </c>
      <c r="Q27">
        <v>-1.640625</v>
      </c>
      <c r="R27">
        <v>0</v>
      </c>
      <c r="U27">
        <f>Kappa2 * L16</f>
        <v>12.87109375</v>
      </c>
      <c r="V27">
        <f>V26/(Kappa1+Kappa2)</f>
        <v>0.20507812500000003</v>
      </c>
    </row>
    <row r="28" spans="2:26" x14ac:dyDescent="0.3">
      <c r="C28" s="16">
        <v>0</v>
      </c>
      <c r="D28" s="16">
        <v>0</v>
      </c>
      <c r="E28" s="15">
        <v>1</v>
      </c>
      <c r="F28" s="16">
        <v>0</v>
      </c>
      <c r="H28">
        <v>0</v>
      </c>
      <c r="I28">
        <f>J27</f>
        <v>0.20507812499999997</v>
      </c>
      <c r="J28">
        <f>I27</f>
        <v>1.375</v>
      </c>
      <c r="K28">
        <v>0</v>
      </c>
      <c r="O28">
        <v>0</v>
      </c>
      <c r="P28">
        <v>-1.640625</v>
      </c>
      <c r="Q28">
        <v>-10.87890625</v>
      </c>
      <c r="R28">
        <v>0</v>
      </c>
      <c r="U28">
        <f>U26-U27</f>
        <v>-3.7421875</v>
      </c>
    </row>
    <row r="29" spans="2:26" x14ac:dyDescent="0.3">
      <c r="C29" s="16">
        <v>0</v>
      </c>
      <c r="D29" s="16">
        <v>0</v>
      </c>
      <c r="E29" s="16">
        <v>0</v>
      </c>
      <c r="F29" s="15">
        <v>1</v>
      </c>
      <c r="H29">
        <f>-I28</f>
        <v>-0.20507812499999997</v>
      </c>
      <c r="I29">
        <v>0</v>
      </c>
      <c r="J29">
        <v>0</v>
      </c>
      <c r="K29">
        <f>J28</f>
        <v>1.375</v>
      </c>
      <c r="O29">
        <v>1.640625</v>
      </c>
      <c r="P29">
        <v>0</v>
      </c>
      <c r="Q29">
        <v>0</v>
      </c>
      <c r="R29">
        <v>-10.87890625</v>
      </c>
      <c r="U29">
        <f>Chi_1-Chi_2</f>
        <v>2</v>
      </c>
    </row>
    <row r="30" spans="2:26" x14ac:dyDescent="0.3">
      <c r="U30">
        <f>U29/(4*N*U28)</f>
        <v>-1.908738443185207E-2</v>
      </c>
    </row>
    <row r="31" spans="2:26" x14ac:dyDescent="0.3">
      <c r="C31" s="68" t="s">
        <v>0</v>
      </c>
      <c r="D31" s="68"/>
      <c r="E31" s="68"/>
      <c r="F31" s="68"/>
      <c r="G31" s="40" t="s">
        <v>45</v>
      </c>
      <c r="H31" s="68" t="s">
        <v>65</v>
      </c>
      <c r="I31" s="68"/>
      <c r="J31" s="68"/>
      <c r="K31" s="68"/>
      <c r="L31" s="39" t="s">
        <v>3</v>
      </c>
      <c r="M31" s="68" t="s">
        <v>65</v>
      </c>
      <c r="N31" s="68"/>
      <c r="O31" s="68"/>
      <c r="P31" s="68"/>
      <c r="Q31" s="40" t="s">
        <v>45</v>
      </c>
      <c r="R31" s="68" t="s">
        <v>15</v>
      </c>
      <c r="S31" s="68"/>
      <c r="T31" s="68"/>
      <c r="U31" s="68"/>
      <c r="V31" s="40" t="s">
        <v>5</v>
      </c>
      <c r="W31" s="68" t="s">
        <v>66</v>
      </c>
      <c r="X31" s="68"/>
      <c r="Y31" s="68"/>
      <c r="Z31" s="68"/>
    </row>
    <row r="32" spans="2:26" x14ac:dyDescent="0.3">
      <c r="C32" s="17">
        <f t="array" ref="C32:F35">Drift</f>
        <v>-3</v>
      </c>
      <c r="D32" s="17">
        <v>7.0000000000000009</v>
      </c>
      <c r="E32" s="17">
        <v>0</v>
      </c>
      <c r="F32" s="17">
        <v>7.0000000000000009</v>
      </c>
      <c r="G32" s="40" t="s">
        <v>45</v>
      </c>
      <c r="H32" s="9" t="s">
        <v>46</v>
      </c>
      <c r="I32" s="9" t="s">
        <v>47</v>
      </c>
      <c r="J32" s="9" t="s">
        <v>48</v>
      </c>
      <c r="K32" s="9" t="s">
        <v>49</v>
      </c>
      <c r="L32" s="39" t="s">
        <v>3</v>
      </c>
      <c r="M32" s="9" t="s">
        <v>46</v>
      </c>
      <c r="N32" s="9" t="s">
        <v>47</v>
      </c>
      <c r="O32" s="9" t="s">
        <v>48</v>
      </c>
      <c r="P32" s="9" t="s">
        <v>49</v>
      </c>
      <c r="Q32" s="40" t="s">
        <v>45</v>
      </c>
      <c r="R32" s="17">
        <f t="array" ref="R32:U35">TRANSPOSE(Drift)</f>
        <v>-3</v>
      </c>
      <c r="S32" s="17">
        <v>-7.0000000000000009</v>
      </c>
      <c r="T32" s="17">
        <v>0</v>
      </c>
      <c r="U32" s="17">
        <v>-7.0000000000000009</v>
      </c>
      <c r="V32" s="40" t="s">
        <v>5</v>
      </c>
      <c r="W32" s="9">
        <f t="array" ref="W32:Z35">-Diffusion</f>
        <v>-12</v>
      </c>
      <c r="X32" s="9">
        <v>0</v>
      </c>
      <c r="Y32" s="9">
        <v>0</v>
      </c>
      <c r="Z32" s="9">
        <v>0</v>
      </c>
    </row>
    <row r="33" spans="3:26" x14ac:dyDescent="0.3">
      <c r="C33" s="17">
        <v>-7.0000000000000009</v>
      </c>
      <c r="D33" s="17">
        <v>-3</v>
      </c>
      <c r="E33" s="17">
        <v>-7.0000000000000009</v>
      </c>
      <c r="F33" s="17">
        <v>0</v>
      </c>
      <c r="H33" s="9" t="s">
        <v>50</v>
      </c>
      <c r="I33" s="9" t="s">
        <v>51</v>
      </c>
      <c r="J33" s="9" t="s">
        <v>52</v>
      </c>
      <c r="K33" s="9" t="s">
        <v>53</v>
      </c>
      <c r="M33" s="9" t="s">
        <v>50</v>
      </c>
      <c r="N33" s="9" t="s">
        <v>51</v>
      </c>
      <c r="O33" s="9" t="s">
        <v>52</v>
      </c>
      <c r="P33" s="9" t="s">
        <v>53</v>
      </c>
      <c r="R33" s="17">
        <v>7.0000000000000009</v>
      </c>
      <c r="S33" s="17">
        <v>-3</v>
      </c>
      <c r="T33" s="17">
        <v>7.0000000000000009</v>
      </c>
      <c r="U33" s="17">
        <v>0</v>
      </c>
      <c r="W33" s="9">
        <v>0</v>
      </c>
      <c r="X33" s="9">
        <v>-12</v>
      </c>
      <c r="Y33" s="9">
        <v>0</v>
      </c>
      <c r="Z33" s="9">
        <v>0</v>
      </c>
    </row>
    <row r="34" spans="3:26" x14ac:dyDescent="0.3">
      <c r="C34" s="17">
        <v>0</v>
      </c>
      <c r="D34" s="17">
        <v>7.0000000000000009</v>
      </c>
      <c r="E34" s="17">
        <v>-5</v>
      </c>
      <c r="F34" s="17">
        <v>7.0000000000000009</v>
      </c>
      <c r="H34" s="9" t="s">
        <v>54</v>
      </c>
      <c r="I34" s="9" t="s">
        <v>56</v>
      </c>
      <c r="J34" s="9" t="s">
        <v>57</v>
      </c>
      <c r="K34" s="9" t="s">
        <v>58</v>
      </c>
      <c r="M34" s="9" t="s">
        <v>54</v>
      </c>
      <c r="N34" s="9" t="s">
        <v>56</v>
      </c>
      <c r="O34" s="9" t="s">
        <v>57</v>
      </c>
      <c r="P34" s="9" t="s">
        <v>58</v>
      </c>
      <c r="R34" s="17">
        <v>0</v>
      </c>
      <c r="S34" s="17">
        <v>-7.0000000000000009</v>
      </c>
      <c r="T34" s="17">
        <v>-5</v>
      </c>
      <c r="U34" s="17">
        <v>-7.0000000000000009</v>
      </c>
      <c r="W34" s="9">
        <v>0</v>
      </c>
      <c r="X34" s="9">
        <v>0</v>
      </c>
      <c r="Y34" s="9">
        <v>-10</v>
      </c>
      <c r="Z34" s="9">
        <v>0</v>
      </c>
    </row>
    <row r="35" spans="3:26" x14ac:dyDescent="0.3">
      <c r="C35" s="17">
        <v>-7.0000000000000009</v>
      </c>
      <c r="D35" s="17">
        <v>0</v>
      </c>
      <c r="E35" s="17">
        <v>-7.0000000000000009</v>
      </c>
      <c r="F35" s="17">
        <v>-5</v>
      </c>
      <c r="H35" s="9" t="s">
        <v>55</v>
      </c>
      <c r="I35" s="9" t="s">
        <v>59</v>
      </c>
      <c r="J35" s="9" t="s">
        <v>60</v>
      </c>
      <c r="K35" s="9" t="s">
        <v>61</v>
      </c>
      <c r="M35" s="9" t="s">
        <v>55</v>
      </c>
      <c r="N35" s="9" t="s">
        <v>59</v>
      </c>
      <c r="O35" s="9" t="s">
        <v>60</v>
      </c>
      <c r="P35" s="9" t="s">
        <v>61</v>
      </c>
      <c r="R35" s="17">
        <v>7.0000000000000009</v>
      </c>
      <c r="S35" s="17">
        <v>0</v>
      </c>
      <c r="T35" s="17">
        <v>7.0000000000000009</v>
      </c>
      <c r="U35" s="17">
        <v>-5</v>
      </c>
      <c r="W35" s="9">
        <v>0</v>
      </c>
      <c r="X35" s="9">
        <v>0</v>
      </c>
      <c r="Y35" s="9">
        <v>0</v>
      </c>
      <c r="Z35" s="9">
        <v>-10</v>
      </c>
    </row>
    <row r="37" spans="3:26" x14ac:dyDescent="0.3">
      <c r="C37" s="68" t="s">
        <v>67</v>
      </c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T37" t="s">
        <v>68</v>
      </c>
      <c r="W37" t="s">
        <v>69</v>
      </c>
    </row>
    <row r="38" spans="3:26" x14ac:dyDescent="0.3">
      <c r="C38" s="17">
        <f t="array" ref="C38:R53">KroneckerProduct(Identity,Drift) + KroneckerProduct(Drift, Identity)</f>
        <v>-6</v>
      </c>
      <c r="D38" s="17">
        <v>7.0000000000000009</v>
      </c>
      <c r="E38" s="17">
        <v>0</v>
      </c>
      <c r="F38" s="17">
        <v>7.0000000000000009</v>
      </c>
      <c r="G38" s="17">
        <v>7.0000000000000009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7.0000000000000009</v>
      </c>
      <c r="P38" s="17">
        <v>0</v>
      </c>
      <c r="Q38" s="17">
        <v>0</v>
      </c>
      <c r="R38" s="17">
        <v>0</v>
      </c>
      <c r="S38" s="40" t="s">
        <v>45</v>
      </c>
      <c r="T38" s="9" t="str">
        <f t="array" ref="T38:T53">Vec(H32:K35)</f>
        <v>x11</v>
      </c>
      <c r="V38" s="40" t="s">
        <v>5</v>
      </c>
      <c r="W38" s="9">
        <f t="array" ref="W38:W53">Vec(W32:Z35)</f>
        <v>-12</v>
      </c>
    </row>
    <row r="39" spans="3:26" x14ac:dyDescent="0.3">
      <c r="C39" s="17">
        <v>-7.0000000000000009</v>
      </c>
      <c r="D39" s="17">
        <v>-6</v>
      </c>
      <c r="E39" s="17">
        <v>-7.0000000000000009</v>
      </c>
      <c r="F39" s="17">
        <v>0</v>
      </c>
      <c r="G39" s="17">
        <v>0</v>
      </c>
      <c r="H39" s="17">
        <v>7.0000000000000009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7.0000000000000009</v>
      </c>
      <c r="Q39" s="17">
        <v>0</v>
      </c>
      <c r="R39" s="17">
        <v>0</v>
      </c>
      <c r="T39" s="9" t="str">
        <v>x21</v>
      </c>
      <c r="W39" s="9">
        <v>0</v>
      </c>
    </row>
    <row r="40" spans="3:26" x14ac:dyDescent="0.3">
      <c r="C40" s="17">
        <v>0</v>
      </c>
      <c r="D40" s="17">
        <v>7.0000000000000009</v>
      </c>
      <c r="E40" s="17">
        <v>-8</v>
      </c>
      <c r="F40" s="17">
        <v>7.0000000000000009</v>
      </c>
      <c r="G40" s="17">
        <v>0</v>
      </c>
      <c r="H40" s="17">
        <v>0</v>
      </c>
      <c r="I40" s="17">
        <v>7.0000000000000009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7.0000000000000009</v>
      </c>
      <c r="R40" s="17">
        <v>0</v>
      </c>
      <c r="T40" s="9" t="str">
        <v>x31</v>
      </c>
      <c r="W40" s="9">
        <v>0</v>
      </c>
    </row>
    <row r="41" spans="3:26" x14ac:dyDescent="0.3">
      <c r="C41" s="17">
        <v>-7.0000000000000009</v>
      </c>
      <c r="D41" s="17">
        <v>0</v>
      </c>
      <c r="E41" s="17">
        <v>-7.0000000000000009</v>
      </c>
      <c r="F41" s="17">
        <v>-8</v>
      </c>
      <c r="G41" s="17">
        <v>0</v>
      </c>
      <c r="H41" s="17">
        <v>0</v>
      </c>
      <c r="I41" s="17">
        <v>0</v>
      </c>
      <c r="J41" s="17">
        <v>7.0000000000000009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7.0000000000000009</v>
      </c>
      <c r="T41" s="9" t="str">
        <v>x41</v>
      </c>
      <c r="W41" s="9">
        <v>0</v>
      </c>
    </row>
    <row r="42" spans="3:26" x14ac:dyDescent="0.3">
      <c r="C42" s="17">
        <v>-7.0000000000000009</v>
      </c>
      <c r="D42" s="17">
        <v>0</v>
      </c>
      <c r="E42" s="17">
        <v>0</v>
      </c>
      <c r="F42" s="17">
        <v>0</v>
      </c>
      <c r="G42" s="17">
        <v>-6</v>
      </c>
      <c r="H42" s="17">
        <v>7.0000000000000009</v>
      </c>
      <c r="I42" s="17">
        <v>0</v>
      </c>
      <c r="J42" s="17">
        <v>7.0000000000000009</v>
      </c>
      <c r="K42" s="17">
        <v>-7.0000000000000009</v>
      </c>
      <c r="L42" s="17">
        <v>0</v>
      </c>
      <c r="M42" s="17">
        <v>0</v>
      </c>
      <c r="N42" s="17">
        <v>0</v>
      </c>
      <c r="O42" s="17">
        <v>0</v>
      </c>
      <c r="P42" s="17">
        <v>0</v>
      </c>
      <c r="Q42" s="17">
        <v>0</v>
      </c>
      <c r="R42" s="17">
        <v>0</v>
      </c>
      <c r="T42" s="9" t="str">
        <v>x12</v>
      </c>
      <c r="W42" s="9">
        <v>0</v>
      </c>
    </row>
    <row r="43" spans="3:26" x14ac:dyDescent="0.3">
      <c r="C43" s="17">
        <v>0</v>
      </c>
      <c r="D43" s="17">
        <v>-7.0000000000000009</v>
      </c>
      <c r="E43" s="17">
        <v>0</v>
      </c>
      <c r="F43" s="17">
        <v>0</v>
      </c>
      <c r="G43" s="17">
        <v>-7.0000000000000009</v>
      </c>
      <c r="H43" s="17">
        <v>-6</v>
      </c>
      <c r="I43" s="17">
        <v>-7.0000000000000009</v>
      </c>
      <c r="J43" s="17">
        <v>0</v>
      </c>
      <c r="K43" s="17">
        <v>0</v>
      </c>
      <c r="L43" s="17">
        <v>-7.0000000000000009</v>
      </c>
      <c r="M43" s="17">
        <v>0</v>
      </c>
      <c r="N43" s="17">
        <v>0</v>
      </c>
      <c r="O43" s="17">
        <v>0</v>
      </c>
      <c r="P43" s="17">
        <v>0</v>
      </c>
      <c r="Q43" s="17">
        <v>0</v>
      </c>
      <c r="R43" s="17">
        <v>0</v>
      </c>
      <c r="T43" s="9" t="str">
        <v>x22</v>
      </c>
      <c r="W43" s="9">
        <v>-12</v>
      </c>
    </row>
    <row r="44" spans="3:26" x14ac:dyDescent="0.3">
      <c r="C44" s="17">
        <v>0</v>
      </c>
      <c r="D44" s="17">
        <v>0</v>
      </c>
      <c r="E44" s="17">
        <v>-7.0000000000000009</v>
      </c>
      <c r="F44" s="17">
        <v>0</v>
      </c>
      <c r="G44" s="17">
        <v>0</v>
      </c>
      <c r="H44" s="17">
        <v>7.0000000000000009</v>
      </c>
      <c r="I44" s="17">
        <v>-8</v>
      </c>
      <c r="J44" s="17">
        <v>7.0000000000000009</v>
      </c>
      <c r="K44" s="17">
        <v>0</v>
      </c>
      <c r="L44" s="17">
        <v>0</v>
      </c>
      <c r="M44" s="17">
        <v>-7.0000000000000009</v>
      </c>
      <c r="N44" s="17">
        <v>0</v>
      </c>
      <c r="O44" s="17">
        <v>0</v>
      </c>
      <c r="P44" s="17">
        <v>0</v>
      </c>
      <c r="Q44" s="17">
        <v>0</v>
      </c>
      <c r="R44" s="17">
        <v>0</v>
      </c>
      <c r="T44" s="9" t="str">
        <v>x32</v>
      </c>
      <c r="W44" s="9">
        <v>0</v>
      </c>
    </row>
    <row r="45" spans="3:26" x14ac:dyDescent="0.3">
      <c r="C45" s="17">
        <v>0</v>
      </c>
      <c r="D45" s="17">
        <v>0</v>
      </c>
      <c r="E45" s="17">
        <v>0</v>
      </c>
      <c r="F45" s="17">
        <v>-7.0000000000000009</v>
      </c>
      <c r="G45" s="17">
        <v>-7.0000000000000009</v>
      </c>
      <c r="H45" s="17">
        <v>0</v>
      </c>
      <c r="I45" s="17">
        <v>-7.0000000000000009</v>
      </c>
      <c r="J45" s="17">
        <v>-8</v>
      </c>
      <c r="K45" s="17">
        <v>0</v>
      </c>
      <c r="L45" s="17">
        <v>0</v>
      </c>
      <c r="M45" s="17">
        <v>0</v>
      </c>
      <c r="N45" s="17">
        <v>-7.0000000000000009</v>
      </c>
      <c r="O45" s="17">
        <v>0</v>
      </c>
      <c r="P45" s="17">
        <v>0</v>
      </c>
      <c r="Q45" s="17">
        <v>0</v>
      </c>
      <c r="R45" s="17">
        <v>0</v>
      </c>
      <c r="T45" s="9" t="str">
        <v>x42</v>
      </c>
      <c r="W45" s="9">
        <v>0</v>
      </c>
    </row>
    <row r="46" spans="3:26" x14ac:dyDescent="0.3">
      <c r="C46" s="17">
        <v>0</v>
      </c>
      <c r="D46" s="17">
        <v>0</v>
      </c>
      <c r="E46" s="17">
        <v>0</v>
      </c>
      <c r="F46" s="17">
        <v>0</v>
      </c>
      <c r="G46" s="17">
        <v>7.0000000000000009</v>
      </c>
      <c r="H46" s="17">
        <v>0</v>
      </c>
      <c r="I46" s="17">
        <v>0</v>
      </c>
      <c r="J46" s="17">
        <v>0</v>
      </c>
      <c r="K46" s="17">
        <v>-8</v>
      </c>
      <c r="L46" s="17">
        <v>7.0000000000000009</v>
      </c>
      <c r="M46" s="17">
        <v>0</v>
      </c>
      <c r="N46" s="17">
        <v>7.0000000000000009</v>
      </c>
      <c r="O46" s="17">
        <v>7.0000000000000009</v>
      </c>
      <c r="P46" s="17">
        <v>0</v>
      </c>
      <c r="Q46" s="17">
        <v>0</v>
      </c>
      <c r="R46" s="17">
        <v>0</v>
      </c>
      <c r="T46" s="9" t="str">
        <v>x13</v>
      </c>
      <c r="W46" s="9">
        <v>0</v>
      </c>
    </row>
    <row r="47" spans="3:26" x14ac:dyDescent="0.3">
      <c r="C47" s="17">
        <v>0</v>
      </c>
      <c r="D47" s="17">
        <v>0</v>
      </c>
      <c r="E47" s="17">
        <v>0</v>
      </c>
      <c r="F47" s="17">
        <v>0</v>
      </c>
      <c r="G47" s="17">
        <v>0</v>
      </c>
      <c r="H47" s="17">
        <v>7.0000000000000009</v>
      </c>
      <c r="I47" s="17">
        <v>0</v>
      </c>
      <c r="J47" s="17">
        <v>0</v>
      </c>
      <c r="K47" s="17">
        <v>-7.0000000000000009</v>
      </c>
      <c r="L47" s="17">
        <v>-8</v>
      </c>
      <c r="M47" s="17">
        <v>-7.0000000000000009</v>
      </c>
      <c r="N47" s="17">
        <v>0</v>
      </c>
      <c r="O47" s="17">
        <v>0</v>
      </c>
      <c r="P47" s="17">
        <v>7.0000000000000009</v>
      </c>
      <c r="Q47" s="17">
        <v>0</v>
      </c>
      <c r="R47" s="17">
        <v>0</v>
      </c>
      <c r="T47" s="9" t="str">
        <v>x23</v>
      </c>
      <c r="W47" s="9">
        <v>0</v>
      </c>
    </row>
    <row r="48" spans="3:26" x14ac:dyDescent="0.3">
      <c r="C48" s="17">
        <v>0</v>
      </c>
      <c r="D48" s="17">
        <v>0</v>
      </c>
      <c r="E48" s="17">
        <v>0</v>
      </c>
      <c r="F48" s="17">
        <v>0</v>
      </c>
      <c r="G48" s="17">
        <v>0</v>
      </c>
      <c r="H48" s="17">
        <v>0</v>
      </c>
      <c r="I48" s="17">
        <v>7.0000000000000009</v>
      </c>
      <c r="J48" s="17">
        <v>0</v>
      </c>
      <c r="K48" s="17">
        <v>0</v>
      </c>
      <c r="L48" s="17">
        <v>7.0000000000000009</v>
      </c>
      <c r="M48" s="17">
        <v>-10</v>
      </c>
      <c r="N48" s="17">
        <v>7.0000000000000009</v>
      </c>
      <c r="O48" s="17">
        <v>0</v>
      </c>
      <c r="P48" s="17">
        <v>0</v>
      </c>
      <c r="Q48" s="17">
        <v>7.0000000000000009</v>
      </c>
      <c r="R48" s="17">
        <v>0</v>
      </c>
      <c r="T48" s="9" t="str">
        <v>x33</v>
      </c>
      <c r="W48" s="9">
        <v>-10</v>
      </c>
    </row>
    <row r="49" spans="3:23" x14ac:dyDescent="0.3">
      <c r="C49" s="17">
        <v>0</v>
      </c>
      <c r="D49" s="17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7.0000000000000009</v>
      </c>
      <c r="K49" s="17">
        <v>-7.0000000000000009</v>
      </c>
      <c r="L49" s="17">
        <v>0</v>
      </c>
      <c r="M49" s="17">
        <v>-7.0000000000000009</v>
      </c>
      <c r="N49" s="17">
        <v>-10</v>
      </c>
      <c r="O49" s="17">
        <v>0</v>
      </c>
      <c r="P49" s="17">
        <v>0</v>
      </c>
      <c r="Q49" s="17">
        <v>0</v>
      </c>
      <c r="R49" s="17">
        <v>7.0000000000000009</v>
      </c>
      <c r="T49" s="9" t="str">
        <v>x43</v>
      </c>
      <c r="W49" s="9">
        <v>0</v>
      </c>
    </row>
    <row r="50" spans="3:23" x14ac:dyDescent="0.3">
      <c r="C50" s="17">
        <v>-7.0000000000000009</v>
      </c>
      <c r="D50" s="17">
        <v>0</v>
      </c>
      <c r="E50" s="17">
        <v>0</v>
      </c>
      <c r="F50" s="17">
        <v>0</v>
      </c>
      <c r="G50" s="17">
        <v>0</v>
      </c>
      <c r="H50" s="17">
        <v>0</v>
      </c>
      <c r="I50" s="17">
        <v>0</v>
      </c>
      <c r="J50" s="17">
        <v>0</v>
      </c>
      <c r="K50" s="17">
        <v>-7.0000000000000009</v>
      </c>
      <c r="L50" s="17">
        <v>0</v>
      </c>
      <c r="M50" s="17">
        <v>0</v>
      </c>
      <c r="N50" s="17">
        <v>0</v>
      </c>
      <c r="O50" s="17">
        <v>-8</v>
      </c>
      <c r="P50" s="17">
        <v>7.0000000000000009</v>
      </c>
      <c r="Q50" s="17">
        <v>0</v>
      </c>
      <c r="R50" s="17">
        <v>7.0000000000000009</v>
      </c>
      <c r="T50" s="9" t="str">
        <v>x14</v>
      </c>
      <c r="W50" s="9">
        <v>0</v>
      </c>
    </row>
    <row r="51" spans="3:23" x14ac:dyDescent="0.3">
      <c r="C51" s="17">
        <v>0</v>
      </c>
      <c r="D51" s="17">
        <v>-7.0000000000000009</v>
      </c>
      <c r="E51" s="17">
        <v>0</v>
      </c>
      <c r="F51" s="17">
        <v>0</v>
      </c>
      <c r="G51" s="17">
        <v>0</v>
      </c>
      <c r="H51" s="17">
        <v>0</v>
      </c>
      <c r="I51" s="17">
        <v>0</v>
      </c>
      <c r="J51" s="17">
        <v>0</v>
      </c>
      <c r="K51" s="17">
        <v>0</v>
      </c>
      <c r="L51" s="17">
        <v>-7.0000000000000009</v>
      </c>
      <c r="M51" s="17">
        <v>0</v>
      </c>
      <c r="N51" s="17">
        <v>0</v>
      </c>
      <c r="O51" s="17">
        <v>-7.0000000000000009</v>
      </c>
      <c r="P51" s="17">
        <v>-8</v>
      </c>
      <c r="Q51" s="17">
        <v>-7.0000000000000009</v>
      </c>
      <c r="R51" s="17">
        <v>0</v>
      </c>
      <c r="T51" s="9" t="str">
        <v>x24</v>
      </c>
      <c r="W51" s="9">
        <v>0</v>
      </c>
    </row>
    <row r="52" spans="3:23" x14ac:dyDescent="0.3">
      <c r="C52" s="17">
        <v>0</v>
      </c>
      <c r="D52" s="17">
        <v>0</v>
      </c>
      <c r="E52" s="17">
        <v>-7.0000000000000009</v>
      </c>
      <c r="F52" s="17">
        <v>0</v>
      </c>
      <c r="G52" s="17">
        <v>0</v>
      </c>
      <c r="H52" s="17">
        <v>0</v>
      </c>
      <c r="I52" s="17">
        <v>0</v>
      </c>
      <c r="J52" s="17">
        <v>0</v>
      </c>
      <c r="K52" s="17">
        <v>0</v>
      </c>
      <c r="L52" s="17">
        <v>0</v>
      </c>
      <c r="M52" s="17">
        <v>-7.0000000000000009</v>
      </c>
      <c r="N52" s="17">
        <v>0</v>
      </c>
      <c r="O52" s="17">
        <v>0</v>
      </c>
      <c r="P52" s="17">
        <v>7.0000000000000009</v>
      </c>
      <c r="Q52" s="17">
        <v>-10</v>
      </c>
      <c r="R52" s="17">
        <v>7.0000000000000009</v>
      </c>
      <c r="T52" s="9" t="str">
        <v>x34</v>
      </c>
      <c r="W52" s="9">
        <v>0</v>
      </c>
    </row>
    <row r="53" spans="3:23" x14ac:dyDescent="0.3">
      <c r="C53" s="17">
        <v>0</v>
      </c>
      <c r="D53" s="17">
        <v>0</v>
      </c>
      <c r="E53" s="17">
        <v>0</v>
      </c>
      <c r="F53" s="17">
        <v>-7.0000000000000009</v>
      </c>
      <c r="G53" s="17">
        <v>0</v>
      </c>
      <c r="H53" s="17">
        <v>0</v>
      </c>
      <c r="I53" s="17">
        <v>0</v>
      </c>
      <c r="J53" s="17">
        <v>0</v>
      </c>
      <c r="K53" s="17">
        <v>0</v>
      </c>
      <c r="L53" s="17">
        <v>0</v>
      </c>
      <c r="M53" s="17">
        <v>0</v>
      </c>
      <c r="N53" s="17">
        <v>-7.0000000000000009</v>
      </c>
      <c r="O53" s="17">
        <v>-7.0000000000000009</v>
      </c>
      <c r="P53" s="17">
        <v>0</v>
      </c>
      <c r="Q53" s="17">
        <v>-7.0000000000000009</v>
      </c>
      <c r="R53" s="17">
        <v>-10</v>
      </c>
      <c r="T53" s="9" t="str">
        <v>x44</v>
      </c>
      <c r="W53" s="9">
        <v>-10</v>
      </c>
    </row>
    <row r="55" spans="3:23" x14ac:dyDescent="0.3">
      <c r="T55" s="9" t="str">
        <f t="shared" ref="T55:T70" si="3">T38</f>
        <v>x11</v>
      </c>
      <c r="V55" s="40" t="s">
        <v>5</v>
      </c>
      <c r="W55" s="9">
        <f t="array" ref="W55:W70">MMULT( MINVERSE(C38:R53), W38:W53)</f>
        <v>1.5214843749999998</v>
      </c>
    </row>
    <row r="56" spans="3:23" x14ac:dyDescent="0.3">
      <c r="T56" s="9" t="str">
        <f t="shared" si="3"/>
        <v>x21</v>
      </c>
      <c r="W56" s="9">
        <v>2.7755575615628914E-17</v>
      </c>
    </row>
    <row r="57" spans="3:23" x14ac:dyDescent="0.3">
      <c r="T57" s="9" t="str">
        <f t="shared" si="3"/>
        <v>x31</v>
      </c>
      <c r="W57" s="9">
        <v>8.3266726846886741E-17</v>
      </c>
    </row>
    <row r="58" spans="3:23" x14ac:dyDescent="0.3">
      <c r="T58" s="9" t="str">
        <f t="shared" si="3"/>
        <v>x41</v>
      </c>
      <c r="W58" s="9">
        <v>-0.20507812499999992</v>
      </c>
    </row>
    <row r="59" spans="3:23" x14ac:dyDescent="0.3">
      <c r="T59" s="9" t="str">
        <f t="shared" si="3"/>
        <v>x12</v>
      </c>
      <c r="W59" s="9">
        <v>-6.9388939039072284E-17</v>
      </c>
    </row>
    <row r="60" spans="3:23" x14ac:dyDescent="0.3">
      <c r="T60" s="9" t="str">
        <f t="shared" si="3"/>
        <v>x22</v>
      </c>
      <c r="W60" s="9">
        <v>1.5214843749999998</v>
      </c>
    </row>
    <row r="61" spans="3:23" x14ac:dyDescent="0.3">
      <c r="T61" s="9" t="str">
        <f t="shared" si="3"/>
        <v>x32</v>
      </c>
      <c r="W61" s="9">
        <v>0.20507812500000011</v>
      </c>
    </row>
    <row r="62" spans="3:23" x14ac:dyDescent="0.3">
      <c r="T62" s="9" t="str">
        <f t="shared" si="3"/>
        <v>x42</v>
      </c>
      <c r="W62" s="9">
        <v>1.9428902930940239E-16</v>
      </c>
    </row>
    <row r="63" spans="3:23" x14ac:dyDescent="0.3">
      <c r="T63" s="9" t="str">
        <f t="shared" si="3"/>
        <v>x13</v>
      </c>
      <c r="W63" s="9">
        <v>1.6653345369377348E-16</v>
      </c>
    </row>
    <row r="64" spans="3:23" x14ac:dyDescent="0.3">
      <c r="T64" s="9" t="str">
        <f t="shared" si="3"/>
        <v>x23</v>
      </c>
      <c r="W64" s="9">
        <v>0.20507812500000008</v>
      </c>
    </row>
    <row r="65" spans="16:34" x14ac:dyDescent="0.3">
      <c r="T65" s="9" t="str">
        <f t="shared" si="3"/>
        <v>x33</v>
      </c>
      <c r="W65" s="9">
        <v>1.287109375</v>
      </c>
    </row>
    <row r="66" spans="16:34" x14ac:dyDescent="0.3">
      <c r="T66" s="9" t="str">
        <f t="shared" si="3"/>
        <v>x43</v>
      </c>
      <c r="W66" s="9">
        <v>0</v>
      </c>
    </row>
    <row r="67" spans="16:34" x14ac:dyDescent="0.3">
      <c r="T67" s="9" t="str">
        <f t="shared" si="3"/>
        <v>x14</v>
      </c>
      <c r="W67" s="9">
        <v>-0.205078125</v>
      </c>
    </row>
    <row r="68" spans="16:34" x14ac:dyDescent="0.3">
      <c r="T68" s="9" t="str">
        <f t="shared" si="3"/>
        <v>x24</v>
      </c>
      <c r="W68" s="9">
        <v>1.6653345369377348E-16</v>
      </c>
    </row>
    <row r="69" spans="16:34" x14ac:dyDescent="0.3">
      <c r="T69" s="9" t="str">
        <f t="shared" si="3"/>
        <v>x34</v>
      </c>
      <c r="W69" s="9">
        <v>-1.3877787807814457E-16</v>
      </c>
    </row>
    <row r="70" spans="16:34" x14ac:dyDescent="0.3">
      <c r="T70" s="9" t="str">
        <f t="shared" si="3"/>
        <v>x44</v>
      </c>
      <c r="W70" s="9">
        <v>1.287109375</v>
      </c>
    </row>
    <row r="72" spans="16:34" x14ac:dyDescent="0.3">
      <c r="P72" s="26" t="s">
        <v>70</v>
      </c>
      <c r="Q72" s="9" t="s">
        <v>46</v>
      </c>
      <c r="R72" s="9" t="s">
        <v>47</v>
      </c>
      <c r="S72" s="9" t="s">
        <v>48</v>
      </c>
      <c r="T72" s="9" t="s">
        <v>49</v>
      </c>
      <c r="V72" s="40" t="s">
        <v>5</v>
      </c>
      <c r="W72" s="55">
        <f t="shared" ref="W72:W75" si="4">W55</f>
        <v>1.5214843749999998</v>
      </c>
      <c r="X72" s="18">
        <f t="shared" ref="X72:X75" si="5">W59</f>
        <v>-6.9388939039072284E-17</v>
      </c>
      <c r="Y72" s="17">
        <f t="shared" ref="Y72:Y75" si="6">W63</f>
        <v>1.6653345369377348E-16</v>
      </c>
      <c r="Z72" s="17">
        <f t="shared" ref="Z72:Z75" si="7">W67</f>
        <v>-0.205078125</v>
      </c>
      <c r="AE72" s="56"/>
      <c r="AF72" s="62"/>
      <c r="AG72" s="62"/>
      <c r="AH72" s="60"/>
    </row>
    <row r="73" spans="16:34" x14ac:dyDescent="0.3">
      <c r="Q73" s="9" t="s">
        <v>50</v>
      </c>
      <c r="R73" s="9" t="s">
        <v>51</v>
      </c>
      <c r="S73" s="9" t="s">
        <v>52</v>
      </c>
      <c r="T73" s="9" t="s">
        <v>53</v>
      </c>
      <c r="W73" s="18">
        <f t="shared" si="4"/>
        <v>2.7755575615628914E-17</v>
      </c>
      <c r="X73" s="64">
        <f t="shared" si="5"/>
        <v>1.5214843749999998</v>
      </c>
      <c r="Y73" s="17">
        <f t="shared" si="6"/>
        <v>0.20507812500000008</v>
      </c>
      <c r="Z73" s="17">
        <f t="shared" si="7"/>
        <v>1.6653345369377348E-16</v>
      </c>
      <c r="AE73" s="62"/>
      <c r="AF73" s="56"/>
      <c r="AG73" s="60"/>
      <c r="AH73" s="62"/>
    </row>
    <row r="74" spans="16:34" x14ac:dyDescent="0.3">
      <c r="Q74" s="9" t="s">
        <v>54</v>
      </c>
      <c r="R74" s="9" t="s">
        <v>56</v>
      </c>
      <c r="S74" s="9" t="s">
        <v>57</v>
      </c>
      <c r="T74" s="9" t="s">
        <v>58</v>
      </c>
      <c r="W74" s="17">
        <f t="shared" si="4"/>
        <v>8.3266726846886741E-17</v>
      </c>
      <c r="X74" s="17">
        <f t="shared" si="5"/>
        <v>0.20507812500000011</v>
      </c>
      <c r="Y74" s="63">
        <f t="shared" si="6"/>
        <v>1.287109375</v>
      </c>
      <c r="Z74" s="21">
        <f t="shared" si="7"/>
        <v>-1.3877787807814457E-16</v>
      </c>
      <c r="AE74" s="62"/>
      <c r="AF74" s="60"/>
      <c r="AG74" s="56"/>
      <c r="AH74" s="62"/>
    </row>
    <row r="75" spans="16:34" x14ac:dyDescent="0.3">
      <c r="Q75" s="9" t="s">
        <v>55</v>
      </c>
      <c r="R75" s="9" t="s">
        <v>59</v>
      </c>
      <c r="S75" s="9" t="s">
        <v>60</v>
      </c>
      <c r="T75" s="9" t="s">
        <v>61</v>
      </c>
      <c r="W75" s="17">
        <f t="shared" si="4"/>
        <v>-0.20507812499999992</v>
      </c>
      <c r="X75" s="17">
        <f t="shared" si="5"/>
        <v>1.9428902930940239E-16</v>
      </c>
      <c r="Y75" s="21">
        <f t="shared" si="6"/>
        <v>0</v>
      </c>
      <c r="Z75" s="61">
        <f t="shared" si="7"/>
        <v>1.287109375</v>
      </c>
      <c r="AE75" s="60"/>
      <c r="AF75" s="62"/>
      <c r="AG75" s="62"/>
      <c r="AH75" s="56"/>
    </row>
    <row r="78" spans="16:34" x14ac:dyDescent="0.3">
      <c r="V78" s="24" t="s">
        <v>64</v>
      </c>
      <c r="W78" s="29">
        <f t="array" ref="W78">MDETERM(W72:X73)</f>
        <v>2.3149147033691397</v>
      </c>
    </row>
    <row r="80" spans="16:34" x14ac:dyDescent="0.3">
      <c r="W80" s="49"/>
    </row>
    <row r="84" spans="3:27" x14ac:dyDescent="0.3">
      <c r="D84" s="68" t="s">
        <v>0</v>
      </c>
      <c r="E84" s="68"/>
      <c r="F84" s="68"/>
      <c r="G84" s="68"/>
      <c r="H84" s="40" t="s">
        <v>45</v>
      </c>
      <c r="I84" s="68" t="s">
        <v>65</v>
      </c>
      <c r="J84" s="68"/>
      <c r="K84" s="68"/>
      <c r="L84" s="68"/>
      <c r="M84" s="39" t="s">
        <v>3</v>
      </c>
      <c r="N84" s="68" t="s">
        <v>65</v>
      </c>
      <c r="O84" s="68"/>
      <c r="P84" s="68"/>
      <c r="Q84" s="68"/>
      <c r="R84" s="40" t="s">
        <v>45</v>
      </c>
      <c r="S84" s="68" t="s">
        <v>15</v>
      </c>
      <c r="T84" s="68"/>
      <c r="U84" s="68"/>
      <c r="V84" s="68"/>
      <c r="W84" s="40"/>
      <c r="X84" s="68"/>
      <c r="Y84" s="68"/>
      <c r="Z84" s="68"/>
      <c r="AA84" s="68"/>
    </row>
    <row r="85" spans="3:27" x14ac:dyDescent="0.3">
      <c r="D85" s="36">
        <f t="array" ref="D85:G88">O21:R24</f>
        <v>-3</v>
      </c>
      <c r="E85" s="36">
        <v>7.0000000000000009</v>
      </c>
      <c r="F85" s="36">
        <v>0</v>
      </c>
      <c r="G85" s="36">
        <v>7.0000000000000009</v>
      </c>
      <c r="I85" s="36">
        <f t="array" ref="I85:L88">W72:Z75</f>
        <v>1.5214843749999998</v>
      </c>
      <c r="J85" s="36">
        <v>-6.9388939039072284E-17</v>
      </c>
      <c r="K85" s="36">
        <v>1.6653345369377348E-16</v>
      </c>
      <c r="L85" s="36">
        <v>-0.205078125</v>
      </c>
      <c r="M85" t="s">
        <v>3</v>
      </c>
      <c r="N85" s="36">
        <f t="array" ref="N85:Q88">I85:L88</f>
        <v>1.5214843749999998</v>
      </c>
      <c r="O85" s="36">
        <v>-6.9388939039072284E-17</v>
      </c>
      <c r="P85" s="36">
        <v>1.6653345369377348E-16</v>
      </c>
      <c r="Q85" s="36">
        <v>-0.205078125</v>
      </c>
      <c r="S85" s="36">
        <f t="array" ref="S85:V88">TRANSPOSE(D85:G88)</f>
        <v>-3</v>
      </c>
      <c r="T85" s="36">
        <v>-7.0000000000000009</v>
      </c>
      <c r="U85" s="36">
        <v>0</v>
      </c>
      <c r="V85" s="36">
        <v>-7.0000000000000009</v>
      </c>
      <c r="W85" s="33"/>
    </row>
    <row r="86" spans="3:27" x14ac:dyDescent="0.3">
      <c r="D86" s="36">
        <v>-7.0000000000000009</v>
      </c>
      <c r="E86" s="36">
        <v>-3</v>
      </c>
      <c r="F86" s="36">
        <v>-7.0000000000000009</v>
      </c>
      <c r="G86" s="36">
        <v>0</v>
      </c>
      <c r="I86" s="36">
        <v>2.7755575615628914E-17</v>
      </c>
      <c r="J86" s="36">
        <v>1.5214843749999998</v>
      </c>
      <c r="K86" s="36">
        <v>0.20507812500000008</v>
      </c>
      <c r="L86" s="36">
        <v>1.6653345369377348E-16</v>
      </c>
      <c r="N86" s="36">
        <v>2.7755575615628914E-17</v>
      </c>
      <c r="O86" s="36">
        <v>1.5214843749999998</v>
      </c>
      <c r="P86" s="36">
        <v>0.20507812500000008</v>
      </c>
      <c r="Q86" s="36">
        <v>1.6653345369377348E-16</v>
      </c>
      <c r="S86" s="36">
        <v>7.0000000000000009</v>
      </c>
      <c r="T86" s="36">
        <v>-3</v>
      </c>
      <c r="U86" s="36">
        <v>7.0000000000000009</v>
      </c>
      <c r="V86" s="36">
        <v>0</v>
      </c>
    </row>
    <row r="87" spans="3:27" x14ac:dyDescent="0.3">
      <c r="C87" s="54"/>
      <c r="D87" s="36">
        <v>0</v>
      </c>
      <c r="E87" s="36">
        <v>7.0000000000000009</v>
      </c>
      <c r="F87" s="36">
        <v>-5</v>
      </c>
      <c r="G87" s="36">
        <v>7.0000000000000009</v>
      </c>
      <c r="I87" s="36">
        <v>8.3266726846886741E-17</v>
      </c>
      <c r="J87" s="36">
        <v>0.20507812500000011</v>
      </c>
      <c r="K87" s="36">
        <v>1.287109375</v>
      </c>
      <c r="L87" s="36">
        <v>-1.3877787807814457E-16</v>
      </c>
      <c r="N87" s="36">
        <v>8.3266726846886741E-17</v>
      </c>
      <c r="O87" s="36">
        <v>0.20507812500000011</v>
      </c>
      <c r="P87" s="37">
        <v>1.287109375</v>
      </c>
      <c r="Q87" s="36">
        <v>-1.3877787807814457E-16</v>
      </c>
      <c r="S87" s="36">
        <v>0</v>
      </c>
      <c r="T87" s="36">
        <v>-7.0000000000000009</v>
      </c>
      <c r="U87" s="36">
        <v>-5</v>
      </c>
      <c r="V87" s="36">
        <v>-7.0000000000000009</v>
      </c>
    </row>
    <row r="88" spans="3:27" x14ac:dyDescent="0.3">
      <c r="D88" s="36">
        <v>-7.0000000000000009</v>
      </c>
      <c r="E88" s="36">
        <v>0</v>
      </c>
      <c r="F88" s="36">
        <v>-7.0000000000000009</v>
      </c>
      <c r="G88" s="36">
        <v>-5</v>
      </c>
      <c r="I88" s="36">
        <v>-0.20507812499999992</v>
      </c>
      <c r="J88" s="36">
        <v>1.9428902930940239E-16</v>
      </c>
      <c r="K88" s="36">
        <v>0</v>
      </c>
      <c r="L88" s="36">
        <v>1.287109375</v>
      </c>
      <c r="N88" s="36">
        <v>-0.20507812499999992</v>
      </c>
      <c r="O88" s="36">
        <v>1.9428902930940239E-16</v>
      </c>
      <c r="P88" s="36">
        <v>0</v>
      </c>
      <c r="Q88" s="36">
        <v>1.287109375</v>
      </c>
      <c r="S88" s="36">
        <v>7.0000000000000009</v>
      </c>
      <c r="T88" s="36">
        <v>0</v>
      </c>
      <c r="U88" s="36">
        <v>7.0000000000000009</v>
      </c>
      <c r="V88" s="36">
        <v>-5</v>
      </c>
    </row>
    <row r="89" spans="3:27" x14ac:dyDescent="0.3">
      <c r="D89" s="36"/>
      <c r="E89" s="36"/>
      <c r="F89" s="36"/>
      <c r="G89" s="36"/>
      <c r="I89" s="36"/>
      <c r="J89" s="36"/>
      <c r="K89" s="36"/>
      <c r="L89" s="36"/>
      <c r="N89" s="36"/>
      <c r="O89" s="36"/>
      <c r="P89" s="36"/>
      <c r="Q89" s="36"/>
      <c r="S89" s="36"/>
      <c r="T89" s="36"/>
      <c r="U89" s="36"/>
      <c r="V89" s="36"/>
    </row>
    <row r="90" spans="3:27" x14ac:dyDescent="0.3">
      <c r="D90" s="68" t="s">
        <v>80</v>
      </c>
      <c r="E90" s="68"/>
      <c r="F90" s="68"/>
      <c r="G90" s="68"/>
      <c r="I90" s="36"/>
      <c r="N90" s="68" t="s">
        <v>81</v>
      </c>
      <c r="O90" s="68"/>
      <c r="P90" s="68"/>
      <c r="Q90" s="68"/>
    </row>
    <row r="91" spans="3:27" x14ac:dyDescent="0.3">
      <c r="D91" s="36">
        <f t="array" ref="D91:G94">MMULT(D85:G88,I85:L88)</f>
        <v>-5.9999999999999982</v>
      </c>
      <c r="E91" s="36">
        <v>10.650390625000002</v>
      </c>
      <c r="F91" s="36">
        <v>1.4355468750000002</v>
      </c>
      <c r="G91" s="36">
        <v>9.6250000000000036</v>
      </c>
      <c r="N91" s="36">
        <f t="array" ref="N91:Q94">MMULT(N85:Q88,S85:V88)</f>
        <v>-6</v>
      </c>
      <c r="O91" s="36">
        <v>-10.650390625000002</v>
      </c>
      <c r="P91" s="36">
        <v>-1.4355468750000016</v>
      </c>
      <c r="Q91" s="36">
        <v>-9.6250000000000018</v>
      </c>
    </row>
    <row r="92" spans="3:27" x14ac:dyDescent="0.3">
      <c r="D92" s="36">
        <v>-10.650390625</v>
      </c>
      <c r="E92" s="36">
        <v>-5.9999999999999991</v>
      </c>
      <c r="F92" s="36">
        <v>-9.6250000000000036</v>
      </c>
      <c r="G92" s="36">
        <v>1.4355468750000007</v>
      </c>
      <c r="N92" s="36">
        <v>10.650390625000002</v>
      </c>
      <c r="O92" s="36">
        <v>-6</v>
      </c>
      <c r="P92" s="36">
        <v>9.6250000000000018</v>
      </c>
      <c r="Q92" s="36">
        <v>-1.4355468750000018</v>
      </c>
    </row>
    <row r="93" spans="3:27" x14ac:dyDescent="0.3">
      <c r="D93" s="36">
        <v>-1.4355468749999998</v>
      </c>
      <c r="E93" s="36">
        <v>9.6250000000000018</v>
      </c>
      <c r="F93" s="36">
        <v>-4.9999999999999991</v>
      </c>
      <c r="G93" s="36">
        <v>9.0097656250000036</v>
      </c>
      <c r="N93" s="36">
        <v>1.4355468749999998</v>
      </c>
      <c r="O93" s="36">
        <v>-9.6250000000000036</v>
      </c>
      <c r="P93" s="36">
        <v>-5</v>
      </c>
      <c r="Q93" s="36">
        <v>-9.0097656250000018</v>
      </c>
    </row>
    <row r="94" spans="3:27" x14ac:dyDescent="0.3">
      <c r="D94" s="36">
        <v>-9.625</v>
      </c>
      <c r="E94" s="36">
        <v>-1.4355468750000013</v>
      </c>
      <c r="F94" s="36">
        <v>-9.0097656250000036</v>
      </c>
      <c r="G94" s="36">
        <v>-4.9999999999999991</v>
      </c>
      <c r="N94" s="36">
        <v>9.6250000000000036</v>
      </c>
      <c r="O94" s="36">
        <v>1.4355468749999989</v>
      </c>
      <c r="P94" s="36">
        <v>9.0097656250000036</v>
      </c>
      <c r="Q94" s="36">
        <v>-5</v>
      </c>
    </row>
    <row r="95" spans="3:27" x14ac:dyDescent="0.3">
      <c r="D95" s="36"/>
      <c r="E95" s="36"/>
      <c r="F95" s="36"/>
      <c r="G95" s="36"/>
      <c r="N95" s="36"/>
      <c r="O95" s="36"/>
      <c r="P95" s="36"/>
      <c r="Q95" s="36"/>
    </row>
    <row r="96" spans="3:27" x14ac:dyDescent="0.3">
      <c r="D96" s="69" t="s">
        <v>66</v>
      </c>
      <c r="E96" s="68"/>
      <c r="F96" s="68"/>
      <c r="G96" s="68"/>
    </row>
    <row r="97" spans="4:13" x14ac:dyDescent="0.3">
      <c r="D97" s="36">
        <f t="array" ref="D97:G100">D91:G94+N91:Q94</f>
        <v>-11.999999999999998</v>
      </c>
      <c r="E97" s="36">
        <v>0</v>
      </c>
      <c r="F97" s="36">
        <v>0</v>
      </c>
      <c r="G97" s="36">
        <v>0</v>
      </c>
      <c r="J97" s="36"/>
    </row>
    <row r="98" spans="4:13" x14ac:dyDescent="0.3">
      <c r="D98" s="36">
        <v>0</v>
      </c>
      <c r="E98" s="36">
        <v>-12</v>
      </c>
      <c r="F98" s="36">
        <v>0</v>
      </c>
      <c r="G98" s="36">
        <v>0</v>
      </c>
      <c r="K98" s="36"/>
    </row>
    <row r="99" spans="4:13" x14ac:dyDescent="0.3">
      <c r="D99" s="36">
        <v>0</v>
      </c>
      <c r="E99" s="36">
        <v>0</v>
      </c>
      <c r="F99" s="36">
        <v>-10</v>
      </c>
      <c r="G99" s="36">
        <v>0</v>
      </c>
      <c r="L99" s="36"/>
    </row>
    <row r="100" spans="4:13" x14ac:dyDescent="0.3">
      <c r="D100" s="36">
        <v>0</v>
      </c>
      <c r="E100" s="36">
        <v>-2.4424906541753444E-15</v>
      </c>
      <c r="F100" s="36">
        <v>0</v>
      </c>
      <c r="G100" s="36">
        <v>-10</v>
      </c>
      <c r="M100" s="36"/>
    </row>
    <row r="102" spans="4:13" x14ac:dyDescent="0.3">
      <c r="D102" t="b">
        <f t="array" ref="D102:G105">ROUND(D97:G100,2)=-C13:F16</f>
        <v>1</v>
      </c>
      <c r="E102" t="b">
        <v>1</v>
      </c>
      <c r="F102" t="b">
        <v>1</v>
      </c>
      <c r="G102" t="b">
        <v>1</v>
      </c>
      <c r="J102" s="53"/>
      <c r="K102" s="53"/>
      <c r="L102" s="53"/>
      <c r="M102" s="53"/>
    </row>
    <row r="103" spans="4:13" x14ac:dyDescent="0.3">
      <c r="D103" t="b">
        <v>1</v>
      </c>
      <c r="E103" t="b">
        <v>1</v>
      </c>
      <c r="F103" t="b">
        <v>1</v>
      </c>
      <c r="G103" t="b">
        <v>1</v>
      </c>
      <c r="J103" s="53"/>
      <c r="K103" s="53"/>
      <c r="L103" s="53"/>
      <c r="M103" s="53"/>
    </row>
    <row r="104" spans="4:13" x14ac:dyDescent="0.3">
      <c r="D104" t="b">
        <v>1</v>
      </c>
      <c r="E104" t="b">
        <v>1</v>
      </c>
      <c r="F104" t="b">
        <v>1</v>
      </c>
      <c r="G104" t="b">
        <v>1</v>
      </c>
      <c r="J104" s="53"/>
      <c r="K104" s="53"/>
      <c r="L104" s="53"/>
      <c r="M104" s="53"/>
    </row>
    <row r="105" spans="4:13" x14ac:dyDescent="0.3">
      <c r="D105" t="b">
        <v>1</v>
      </c>
      <c r="E105" t="b">
        <v>1</v>
      </c>
      <c r="F105" t="b">
        <v>1</v>
      </c>
      <c r="G105" t="b">
        <v>1</v>
      </c>
      <c r="J105" s="53"/>
      <c r="K105" s="53"/>
      <c r="L105" s="53"/>
      <c r="M105" s="53"/>
    </row>
    <row r="111" spans="4:13" x14ac:dyDescent="0.3">
      <c r="D111" s="36"/>
      <c r="E111" s="36"/>
      <c r="F111" s="36"/>
      <c r="G111" s="36"/>
      <c r="M111" s="53"/>
    </row>
    <row r="112" spans="4:13" x14ac:dyDescent="0.3">
      <c r="D112" s="36"/>
      <c r="E112" s="36"/>
      <c r="F112" s="36"/>
      <c r="G112" s="36"/>
    </row>
    <row r="113" spans="4:13" x14ac:dyDescent="0.3">
      <c r="D113" s="36"/>
      <c r="E113" s="36"/>
      <c r="F113" s="36"/>
      <c r="G113" s="36"/>
    </row>
    <row r="114" spans="4:13" x14ac:dyDescent="0.3">
      <c r="D114" s="36"/>
      <c r="E114" s="36"/>
      <c r="F114" s="36"/>
      <c r="G114" s="36"/>
      <c r="J114" s="59"/>
    </row>
    <row r="121" spans="4:13" x14ac:dyDescent="0.3">
      <c r="J121" s="53"/>
      <c r="K121" s="53"/>
      <c r="L121" s="54"/>
      <c r="M121" s="54"/>
    </row>
    <row r="122" spans="4:13" x14ac:dyDescent="0.3">
      <c r="J122" s="53"/>
      <c r="K122" s="53"/>
      <c r="L122" s="54"/>
      <c r="M122" s="54"/>
    </row>
    <row r="123" spans="4:13" x14ac:dyDescent="0.3">
      <c r="J123" s="54"/>
      <c r="K123" s="54"/>
      <c r="L123" s="53"/>
      <c r="M123" s="53"/>
    </row>
    <row r="124" spans="4:13" x14ac:dyDescent="0.3">
      <c r="J124" s="54"/>
      <c r="K124" s="54"/>
      <c r="L124" s="53"/>
      <c r="M124" s="53"/>
    </row>
  </sheetData>
  <mergeCells count="15">
    <mergeCell ref="D90:G90"/>
    <mergeCell ref="N90:Q90"/>
    <mergeCell ref="D96:G96"/>
    <mergeCell ref="C37:R37"/>
    <mergeCell ref="D84:G84"/>
    <mergeCell ref="I84:L84"/>
    <mergeCell ref="N84:Q84"/>
    <mergeCell ref="S84:V84"/>
    <mergeCell ref="X84:AA84"/>
    <mergeCell ref="H20:K20"/>
    <mergeCell ref="C31:F31"/>
    <mergeCell ref="H31:K31"/>
    <mergeCell ref="M31:P31"/>
    <mergeCell ref="R31:U31"/>
    <mergeCell ref="W31:Z3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E105"/>
  <sheetViews>
    <sheetView zoomScale="110" zoomScaleNormal="110" workbookViewId="0">
      <selection activeCell="K13" sqref="K13"/>
    </sheetView>
  </sheetViews>
  <sheetFormatPr defaultRowHeight="14.4" x14ac:dyDescent="0.3"/>
  <cols>
    <col min="1" max="1" width="11.5546875" customWidth="1"/>
    <col min="2" max="2" width="9.6640625" customWidth="1"/>
    <col min="3" max="3" width="7.77734375" customWidth="1"/>
    <col min="4" max="6" width="8.5546875" customWidth="1"/>
    <col min="7" max="7" width="13.33203125" customWidth="1"/>
    <col min="8" max="11" width="7.77734375" customWidth="1"/>
    <col min="12" max="14" width="8" customWidth="1"/>
    <col min="15" max="18" width="8.109375" customWidth="1"/>
    <col min="19" max="22" width="8.5546875" customWidth="1"/>
    <col min="23" max="23" width="6.5546875" customWidth="1"/>
    <col min="24" max="24" width="5.88671875" customWidth="1"/>
    <col min="25" max="25" width="11" customWidth="1"/>
    <col min="26" max="26" width="10.6640625" customWidth="1"/>
    <col min="27" max="29" width="5.5546875" customWidth="1"/>
    <col min="30" max="30" width="11.5546875" customWidth="1"/>
  </cols>
  <sheetData>
    <row r="1" spans="1:29" x14ac:dyDescent="0.3">
      <c r="A1" s="25">
        <f>$W$78*100</f>
        <v>324.00000000000011</v>
      </c>
      <c r="C1" t="s">
        <v>88</v>
      </c>
    </row>
    <row r="3" spans="1:29" x14ac:dyDescent="0.3">
      <c r="G3" s="6"/>
      <c r="H3" s="24" t="s">
        <v>64</v>
      </c>
      <c r="I3" s="38">
        <f>MDETERM(W72:X73)</f>
        <v>3.2400000000000011</v>
      </c>
      <c r="X3" s="30"/>
    </row>
    <row r="4" spans="1:29" x14ac:dyDescent="0.3">
      <c r="B4" s="6" t="s">
        <v>86</v>
      </c>
      <c r="C4">
        <v>53687092.200000003</v>
      </c>
      <c r="P4" s="19"/>
    </row>
    <row r="5" spans="1:29" ht="16.2" x14ac:dyDescent="0.3">
      <c r="B5" s="6" t="s">
        <v>90</v>
      </c>
      <c r="C5" s="22">
        <f>0*($C$4)</f>
        <v>0</v>
      </c>
      <c r="D5" s="22">
        <f>0*($C$4)</f>
        <v>0</v>
      </c>
      <c r="E5" s="22">
        <f>0*($C$4)</f>
        <v>0</v>
      </c>
      <c r="F5" s="22">
        <f>-1*($C$4)</f>
        <v>-53687092.200000003</v>
      </c>
    </row>
    <row r="6" spans="1:29" x14ac:dyDescent="0.3">
      <c r="C6" s="22">
        <f>0*($C$4)</f>
        <v>0</v>
      </c>
      <c r="D6" s="22">
        <f>0*($C$4)</f>
        <v>0</v>
      </c>
      <c r="E6" s="22">
        <f>1*($C$4)</f>
        <v>53687092.200000003</v>
      </c>
      <c r="F6" s="22">
        <f>0*($C$4)</f>
        <v>0</v>
      </c>
    </row>
    <row r="7" spans="1:29" x14ac:dyDescent="0.3">
      <c r="C7" s="22">
        <f>0*($C$4)</f>
        <v>0</v>
      </c>
      <c r="D7" s="22">
        <f>1*($C$4)</f>
        <v>53687092.200000003</v>
      </c>
      <c r="E7" s="22">
        <f>0*($C$4)</f>
        <v>0</v>
      </c>
      <c r="F7" s="22">
        <f>0*($C$4)</f>
        <v>0</v>
      </c>
    </row>
    <row r="8" spans="1:29" x14ac:dyDescent="0.3">
      <c r="C8" s="22">
        <f>-1*($C$4)</f>
        <v>-53687092.200000003</v>
      </c>
      <c r="D8" s="22">
        <f>0*($C$4)</f>
        <v>0</v>
      </c>
      <c r="E8" s="22">
        <f>0*($C$4)</f>
        <v>0</v>
      </c>
      <c r="F8" s="22">
        <f>0*($C$4)</f>
        <v>0</v>
      </c>
    </row>
    <row r="11" spans="1:29" x14ac:dyDescent="0.3">
      <c r="B11" s="6" t="s">
        <v>82</v>
      </c>
      <c r="C11" s="10">
        <v>5</v>
      </c>
    </row>
    <row r="12" spans="1:29" x14ac:dyDescent="0.3">
      <c r="B12" s="6" t="s">
        <v>83</v>
      </c>
      <c r="C12" s="10">
        <v>4</v>
      </c>
    </row>
    <row r="13" spans="1:29" x14ac:dyDescent="0.3">
      <c r="B13" s="6" t="s">
        <v>44</v>
      </c>
      <c r="C13" s="9">
        <f>C11</f>
        <v>5</v>
      </c>
      <c r="D13" s="10">
        <v>0</v>
      </c>
      <c r="E13" s="10">
        <v>0</v>
      </c>
      <c r="F13" s="10">
        <v>0</v>
      </c>
      <c r="N13" s="6" t="s">
        <v>41</v>
      </c>
      <c r="O13" s="34">
        <v>0</v>
      </c>
      <c r="P13" s="34">
        <v>1</v>
      </c>
      <c r="Q13" s="8">
        <v>0</v>
      </c>
      <c r="R13" s="8">
        <v>0</v>
      </c>
      <c r="U13" s="9" t="s">
        <v>29</v>
      </c>
      <c r="V13" s="8">
        <v>0</v>
      </c>
      <c r="W13" s="8">
        <v>0</v>
      </c>
      <c r="X13" s="8">
        <v>0</v>
      </c>
      <c r="Z13" s="9" t="s">
        <v>29</v>
      </c>
      <c r="AA13" s="9" t="s">
        <v>32</v>
      </c>
      <c r="AB13" s="9" t="s">
        <v>30</v>
      </c>
      <c r="AC13" s="9" t="s">
        <v>35</v>
      </c>
    </row>
    <row r="14" spans="1:29" x14ac:dyDescent="0.3">
      <c r="C14" s="10">
        <v>0</v>
      </c>
      <c r="D14" s="9">
        <f>C13</f>
        <v>5</v>
      </c>
      <c r="E14" s="10">
        <v>0</v>
      </c>
      <c r="F14" s="10">
        <v>0</v>
      </c>
      <c r="O14" s="34">
        <v>-1</v>
      </c>
      <c r="P14" s="34">
        <v>0</v>
      </c>
      <c r="Q14" s="8">
        <v>0</v>
      </c>
      <c r="R14" s="8">
        <v>0</v>
      </c>
      <c r="U14" s="9" t="s">
        <v>32</v>
      </c>
      <c r="V14" s="9" t="s">
        <v>31</v>
      </c>
      <c r="W14" s="8">
        <v>0</v>
      </c>
      <c r="X14" s="8">
        <v>0</v>
      </c>
      <c r="Z14" s="8">
        <v>0</v>
      </c>
      <c r="AA14" s="9" t="s">
        <v>31</v>
      </c>
      <c r="AB14" s="9" t="s">
        <v>33</v>
      </c>
      <c r="AC14" s="9" t="s">
        <v>36</v>
      </c>
    </row>
    <row r="15" spans="1:29" x14ac:dyDescent="0.3">
      <c r="C15" s="10">
        <v>0</v>
      </c>
      <c r="D15" s="10">
        <v>0</v>
      </c>
      <c r="E15" s="9">
        <f>C12</f>
        <v>4</v>
      </c>
      <c r="F15" s="10">
        <v>0</v>
      </c>
      <c r="O15" s="8">
        <v>0</v>
      </c>
      <c r="P15" s="8">
        <v>0</v>
      </c>
      <c r="Q15" s="34">
        <v>0</v>
      </c>
      <c r="R15" s="34">
        <v>1</v>
      </c>
      <c r="U15" s="9" t="s">
        <v>30</v>
      </c>
      <c r="V15" s="9" t="s">
        <v>33</v>
      </c>
      <c r="W15" s="9" t="s">
        <v>34</v>
      </c>
      <c r="X15" s="8">
        <v>0</v>
      </c>
      <c r="Z15" s="8">
        <v>0</v>
      </c>
      <c r="AA15" s="8">
        <v>0</v>
      </c>
      <c r="AB15" s="9" t="s">
        <v>34</v>
      </c>
      <c r="AC15" s="9" t="s">
        <v>37</v>
      </c>
    </row>
    <row r="16" spans="1:29" x14ac:dyDescent="0.3">
      <c r="C16" s="10">
        <v>0</v>
      </c>
      <c r="D16" s="10">
        <v>0</v>
      </c>
      <c r="E16" s="10">
        <v>0</v>
      </c>
      <c r="F16" s="9">
        <f>E15</f>
        <v>4</v>
      </c>
      <c r="O16" s="8">
        <v>0</v>
      </c>
      <c r="P16" s="8">
        <v>0</v>
      </c>
      <c r="Q16" s="34">
        <v>-1</v>
      </c>
      <c r="R16" s="34">
        <v>0</v>
      </c>
      <c r="U16" s="9" t="s">
        <v>35</v>
      </c>
      <c r="V16" s="9" t="s">
        <v>36</v>
      </c>
      <c r="W16" s="9" t="s">
        <v>37</v>
      </c>
      <c r="X16" s="9" t="s">
        <v>38</v>
      </c>
      <c r="Z16" s="8">
        <v>0</v>
      </c>
      <c r="AA16" s="8">
        <v>0</v>
      </c>
      <c r="AB16" s="8">
        <v>0</v>
      </c>
      <c r="AC16" s="9" t="s">
        <v>38</v>
      </c>
    </row>
    <row r="18" spans="2:26" x14ac:dyDescent="0.3">
      <c r="B18" s="6" t="s">
        <v>84</v>
      </c>
      <c r="C18" s="10">
        <v>2</v>
      </c>
      <c r="E18" s="19"/>
    </row>
    <row r="19" spans="2:26" x14ac:dyDescent="0.3">
      <c r="B19" s="6" t="s">
        <v>85</v>
      </c>
      <c r="C19" s="10">
        <v>3</v>
      </c>
    </row>
    <row r="20" spans="2:26" x14ac:dyDescent="0.3">
      <c r="C20" s="10">
        <v>-0.5</v>
      </c>
      <c r="H20" s="70" t="s">
        <v>79</v>
      </c>
      <c r="I20" s="70"/>
      <c r="J20" s="70"/>
      <c r="K20" s="70"/>
    </row>
    <row r="21" spans="2:26" x14ac:dyDescent="0.3">
      <c r="B21" s="6" t="s">
        <v>42</v>
      </c>
      <c r="C21" s="11">
        <f>C20*C18</f>
        <v>-1</v>
      </c>
      <c r="D21" s="10">
        <v>0</v>
      </c>
      <c r="E21" s="10">
        <v>0</v>
      </c>
      <c r="F21" s="10">
        <v>0</v>
      </c>
      <c r="G21" s="52" t="s">
        <v>3</v>
      </c>
      <c r="H21" s="17">
        <f t="array" ref="H21:K24">MMULT(Symplectic, Hamiltonian)</f>
        <v>0</v>
      </c>
      <c r="I21" s="17">
        <v>0</v>
      </c>
      <c r="J21" s="17">
        <v>53687092.200000003</v>
      </c>
      <c r="K21" s="17">
        <v>0</v>
      </c>
      <c r="M21" s="52" t="s">
        <v>5</v>
      </c>
      <c r="O21" s="17">
        <f>C21 + H21</f>
        <v>-1</v>
      </c>
      <c r="P21" s="17">
        <f t="shared" ref="P21:R24" si="0">D21 + I21</f>
        <v>0</v>
      </c>
      <c r="Q21" s="17">
        <f t="shared" si="0"/>
        <v>53687092.200000003</v>
      </c>
      <c r="R21" s="17">
        <f t="shared" si="0"/>
        <v>0</v>
      </c>
    </row>
    <row r="22" spans="2:26" x14ac:dyDescent="0.3">
      <c r="C22" s="10">
        <v>0</v>
      </c>
      <c r="D22" s="11">
        <f>C21</f>
        <v>-1</v>
      </c>
      <c r="E22" s="10">
        <v>0</v>
      </c>
      <c r="F22" s="10">
        <v>0</v>
      </c>
      <c r="H22" s="17">
        <v>0</v>
      </c>
      <c r="I22" s="17">
        <v>0</v>
      </c>
      <c r="J22" s="17">
        <v>0</v>
      </c>
      <c r="K22" s="17">
        <v>53687092.200000003</v>
      </c>
      <c r="O22" s="17">
        <f t="shared" ref="O22:O24" si="1">C22 + H22</f>
        <v>0</v>
      </c>
      <c r="P22" s="17">
        <f t="shared" si="0"/>
        <v>-1</v>
      </c>
      <c r="Q22" s="17">
        <f t="shared" si="0"/>
        <v>0</v>
      </c>
      <c r="R22" s="17">
        <f t="shared" si="0"/>
        <v>53687092.200000003</v>
      </c>
    </row>
    <row r="23" spans="2:26" x14ac:dyDescent="0.3">
      <c r="C23" s="10">
        <v>0</v>
      </c>
      <c r="D23" s="10">
        <v>0</v>
      </c>
      <c r="E23" s="11">
        <f>C20*C19</f>
        <v>-1.5</v>
      </c>
      <c r="F23" s="10">
        <v>0</v>
      </c>
      <c r="H23" s="22">
        <v>-53687092.200000003</v>
      </c>
      <c r="I23" s="22">
        <v>0</v>
      </c>
      <c r="J23" s="17">
        <v>0</v>
      </c>
      <c r="K23" s="17">
        <v>0</v>
      </c>
      <c r="O23" s="17">
        <f t="shared" si="1"/>
        <v>-53687092.200000003</v>
      </c>
      <c r="P23" s="17">
        <f t="shared" si="0"/>
        <v>0</v>
      </c>
      <c r="Q23" s="17">
        <f t="shared" si="0"/>
        <v>-1.5</v>
      </c>
      <c r="R23" s="17">
        <f t="shared" si="0"/>
        <v>0</v>
      </c>
    </row>
    <row r="24" spans="2:26" x14ac:dyDescent="0.3">
      <c r="C24" s="10">
        <v>0</v>
      </c>
      <c r="D24" s="10">
        <v>0</v>
      </c>
      <c r="E24" s="10">
        <v>0</v>
      </c>
      <c r="F24" s="11">
        <f>E23</f>
        <v>-1.5</v>
      </c>
      <c r="H24" s="22">
        <v>0</v>
      </c>
      <c r="I24" s="22">
        <v>-53687092.200000003</v>
      </c>
      <c r="J24" s="17">
        <v>0</v>
      </c>
      <c r="K24" s="17">
        <v>0</v>
      </c>
      <c r="O24" s="17">
        <f t="shared" si="1"/>
        <v>0</v>
      </c>
      <c r="P24" s="17">
        <f t="shared" si="0"/>
        <v>-53687092.200000003</v>
      </c>
      <c r="Q24" s="17">
        <f t="shared" si="0"/>
        <v>0</v>
      </c>
      <c r="R24" s="17">
        <f t="shared" si="0"/>
        <v>-1.5</v>
      </c>
    </row>
    <row r="26" spans="2:26" x14ac:dyDescent="0.3">
      <c r="B26" s="6" t="s">
        <v>62</v>
      </c>
      <c r="C26" s="15">
        <v>1</v>
      </c>
      <c r="D26" s="16">
        <v>0</v>
      </c>
      <c r="E26" s="16">
        <v>0</v>
      </c>
      <c r="F26" s="16">
        <v>0</v>
      </c>
    </row>
    <row r="27" spans="2:26" x14ac:dyDescent="0.3">
      <c r="C27" s="16">
        <v>0</v>
      </c>
      <c r="D27" s="15">
        <v>1</v>
      </c>
      <c r="E27" s="16">
        <v>0</v>
      </c>
      <c r="F27" s="16">
        <v>0</v>
      </c>
    </row>
    <row r="28" spans="2:26" x14ac:dyDescent="0.3">
      <c r="C28" s="16">
        <v>0</v>
      </c>
      <c r="D28" s="16">
        <v>0</v>
      </c>
      <c r="E28" s="15">
        <v>1</v>
      </c>
      <c r="F28" s="16">
        <v>0</v>
      </c>
    </row>
    <row r="29" spans="2:26" x14ac:dyDescent="0.3">
      <c r="C29" s="16">
        <v>0</v>
      </c>
      <c r="D29" s="16">
        <v>0</v>
      </c>
      <c r="E29" s="16">
        <v>0</v>
      </c>
      <c r="F29" s="15">
        <v>1</v>
      </c>
    </row>
    <row r="31" spans="2:26" x14ac:dyDescent="0.3">
      <c r="C31" s="68" t="s">
        <v>0</v>
      </c>
      <c r="D31" s="68"/>
      <c r="E31" s="68"/>
      <c r="F31" s="68"/>
      <c r="G31" s="52" t="s">
        <v>45</v>
      </c>
      <c r="H31" s="68" t="s">
        <v>65</v>
      </c>
      <c r="I31" s="68"/>
      <c r="J31" s="68"/>
      <c r="K31" s="68"/>
      <c r="L31" s="51" t="s">
        <v>3</v>
      </c>
      <c r="M31" s="68" t="s">
        <v>65</v>
      </c>
      <c r="N31" s="68"/>
      <c r="O31" s="68"/>
      <c r="P31" s="68"/>
      <c r="Q31" s="52" t="s">
        <v>45</v>
      </c>
      <c r="R31" s="68" t="s">
        <v>15</v>
      </c>
      <c r="S31" s="68"/>
      <c r="T31" s="68"/>
      <c r="U31" s="68"/>
      <c r="V31" s="52" t="s">
        <v>5</v>
      </c>
      <c r="W31" s="68" t="s">
        <v>66</v>
      </c>
      <c r="X31" s="68"/>
      <c r="Y31" s="68"/>
      <c r="Z31" s="68"/>
    </row>
    <row r="32" spans="2:26" x14ac:dyDescent="0.3">
      <c r="C32" s="17">
        <f t="array" ref="C32:F35">Drift</f>
        <v>-1</v>
      </c>
      <c r="D32" s="17">
        <v>0</v>
      </c>
      <c r="E32" s="17">
        <v>53687092.200000003</v>
      </c>
      <c r="F32" s="17">
        <v>0</v>
      </c>
      <c r="G32" s="52" t="s">
        <v>45</v>
      </c>
      <c r="H32" s="9" t="s">
        <v>46</v>
      </c>
      <c r="I32" s="9" t="s">
        <v>47</v>
      </c>
      <c r="J32" s="9" t="s">
        <v>48</v>
      </c>
      <c r="K32" s="9" t="s">
        <v>49</v>
      </c>
      <c r="L32" s="51" t="s">
        <v>3</v>
      </c>
      <c r="M32" s="9" t="s">
        <v>46</v>
      </c>
      <c r="N32" s="9" t="s">
        <v>47</v>
      </c>
      <c r="O32" s="9" t="s">
        <v>48</v>
      </c>
      <c r="P32" s="9" t="s">
        <v>49</v>
      </c>
      <c r="Q32" s="52" t="s">
        <v>45</v>
      </c>
      <c r="R32" s="17">
        <f t="array" ref="R32:U35">TRANSPOSE(Drift)</f>
        <v>-1</v>
      </c>
      <c r="S32" s="17">
        <v>0</v>
      </c>
      <c r="T32" s="17">
        <v>-53687092.200000003</v>
      </c>
      <c r="U32" s="17">
        <v>0</v>
      </c>
      <c r="V32" s="52" t="s">
        <v>5</v>
      </c>
      <c r="W32" s="9">
        <f t="array" ref="W32:Z35">-Diffusion</f>
        <v>-5</v>
      </c>
      <c r="X32" s="9">
        <v>0</v>
      </c>
      <c r="Y32" s="9">
        <v>0</v>
      </c>
      <c r="Z32" s="9">
        <v>0</v>
      </c>
    </row>
    <row r="33" spans="3:26" x14ac:dyDescent="0.3">
      <c r="C33" s="17">
        <v>0</v>
      </c>
      <c r="D33" s="17">
        <v>-1</v>
      </c>
      <c r="E33" s="17">
        <v>0</v>
      </c>
      <c r="F33" s="17">
        <v>53687092.200000003</v>
      </c>
      <c r="H33" s="9" t="s">
        <v>50</v>
      </c>
      <c r="I33" s="9" t="s">
        <v>51</v>
      </c>
      <c r="J33" s="9" t="s">
        <v>52</v>
      </c>
      <c r="K33" s="9" t="s">
        <v>53</v>
      </c>
      <c r="M33" s="9" t="s">
        <v>50</v>
      </c>
      <c r="N33" s="9" t="s">
        <v>51</v>
      </c>
      <c r="O33" s="9" t="s">
        <v>52</v>
      </c>
      <c r="P33" s="9" t="s">
        <v>53</v>
      </c>
      <c r="R33" s="17">
        <v>0</v>
      </c>
      <c r="S33" s="17">
        <v>-1</v>
      </c>
      <c r="T33" s="17">
        <v>0</v>
      </c>
      <c r="U33" s="17">
        <v>-53687092.200000003</v>
      </c>
      <c r="W33" s="9">
        <v>0</v>
      </c>
      <c r="X33" s="9">
        <v>-5</v>
      </c>
      <c r="Y33" s="9">
        <v>0</v>
      </c>
      <c r="Z33" s="9">
        <v>0</v>
      </c>
    </row>
    <row r="34" spans="3:26" x14ac:dyDescent="0.3">
      <c r="C34" s="17">
        <v>-53687092.200000003</v>
      </c>
      <c r="D34" s="17">
        <v>0</v>
      </c>
      <c r="E34" s="17">
        <v>-1.5</v>
      </c>
      <c r="F34" s="17">
        <v>0</v>
      </c>
      <c r="H34" s="9" t="s">
        <v>54</v>
      </c>
      <c r="I34" s="9" t="s">
        <v>56</v>
      </c>
      <c r="J34" s="9" t="s">
        <v>57</v>
      </c>
      <c r="K34" s="9" t="s">
        <v>58</v>
      </c>
      <c r="M34" s="9" t="s">
        <v>54</v>
      </c>
      <c r="N34" s="9" t="s">
        <v>56</v>
      </c>
      <c r="O34" s="9" t="s">
        <v>57</v>
      </c>
      <c r="P34" s="9" t="s">
        <v>58</v>
      </c>
      <c r="R34" s="17">
        <v>53687092.200000003</v>
      </c>
      <c r="S34" s="17">
        <v>0</v>
      </c>
      <c r="T34" s="17">
        <v>-1.5</v>
      </c>
      <c r="U34" s="17">
        <v>0</v>
      </c>
      <c r="W34" s="9">
        <v>0</v>
      </c>
      <c r="X34" s="9">
        <v>0</v>
      </c>
      <c r="Y34" s="9">
        <v>-4</v>
      </c>
      <c r="Z34" s="9">
        <v>0</v>
      </c>
    </row>
    <row r="35" spans="3:26" x14ac:dyDescent="0.3">
      <c r="C35" s="17">
        <v>0</v>
      </c>
      <c r="D35" s="17">
        <v>-53687092.200000003</v>
      </c>
      <c r="E35" s="17">
        <v>0</v>
      </c>
      <c r="F35" s="17">
        <v>-1.5</v>
      </c>
      <c r="H35" s="9" t="s">
        <v>55</v>
      </c>
      <c r="I35" s="9" t="s">
        <v>59</v>
      </c>
      <c r="J35" s="9" t="s">
        <v>60</v>
      </c>
      <c r="K35" s="9" t="s">
        <v>61</v>
      </c>
      <c r="M35" s="9" t="s">
        <v>55</v>
      </c>
      <c r="N35" s="9" t="s">
        <v>59</v>
      </c>
      <c r="O35" s="9" t="s">
        <v>60</v>
      </c>
      <c r="P35" s="9" t="s">
        <v>61</v>
      </c>
      <c r="R35" s="17">
        <v>0</v>
      </c>
      <c r="S35" s="17">
        <v>53687092.200000003</v>
      </c>
      <c r="T35" s="17">
        <v>0</v>
      </c>
      <c r="U35" s="17">
        <v>-1.5</v>
      </c>
      <c r="W35" s="9">
        <v>0</v>
      </c>
      <c r="X35" s="9">
        <v>0</v>
      </c>
      <c r="Y35" s="9">
        <v>0</v>
      </c>
      <c r="Z35" s="9">
        <v>-4</v>
      </c>
    </row>
    <row r="37" spans="3:26" x14ac:dyDescent="0.3">
      <c r="C37" s="68" t="s">
        <v>67</v>
      </c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T37" t="s">
        <v>68</v>
      </c>
      <c r="W37" t="s">
        <v>69</v>
      </c>
    </row>
    <row r="38" spans="3:26" x14ac:dyDescent="0.3">
      <c r="C38" s="17">
        <f t="array" ref="C38:R53">KroneckerProduct(Identity,Drift) + KroneckerProduct(Drift, Identity)</f>
        <v>-2</v>
      </c>
      <c r="D38" s="17">
        <v>0</v>
      </c>
      <c r="E38" s="17">
        <v>53687092.200000003</v>
      </c>
      <c r="F38" s="17">
        <v>0</v>
      </c>
      <c r="G38" s="17">
        <v>0</v>
      </c>
      <c r="H38" s="17">
        <v>0</v>
      </c>
      <c r="I38" s="17">
        <v>0</v>
      </c>
      <c r="J38" s="17">
        <v>0</v>
      </c>
      <c r="K38" s="17">
        <v>53687092.200000003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S38" s="52" t="s">
        <v>45</v>
      </c>
      <c r="T38" s="9" t="str">
        <f t="array" ref="T38:T53">Vec(H32:K35)</f>
        <v>x11</v>
      </c>
      <c r="V38" s="52" t="s">
        <v>5</v>
      </c>
      <c r="W38" s="9">
        <f t="array" ref="W38:W53">Vec(W32:Z35)</f>
        <v>-5</v>
      </c>
    </row>
    <row r="39" spans="3:26" x14ac:dyDescent="0.3">
      <c r="C39" s="17">
        <v>0</v>
      </c>
      <c r="D39" s="17">
        <v>-2</v>
      </c>
      <c r="E39" s="17">
        <v>0</v>
      </c>
      <c r="F39" s="17">
        <v>53687092.200000003</v>
      </c>
      <c r="G39" s="17">
        <v>0</v>
      </c>
      <c r="H39" s="17">
        <v>0</v>
      </c>
      <c r="I39" s="17">
        <v>0</v>
      </c>
      <c r="J39" s="17">
        <v>0</v>
      </c>
      <c r="K39" s="17">
        <v>0</v>
      </c>
      <c r="L39" s="17">
        <v>53687092.200000003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T39" s="9" t="str">
        <v>x21</v>
      </c>
      <c r="W39" s="9">
        <v>0</v>
      </c>
    </row>
    <row r="40" spans="3:26" x14ac:dyDescent="0.3">
      <c r="C40" s="17">
        <v>-53687092.200000003</v>
      </c>
      <c r="D40" s="17">
        <v>0</v>
      </c>
      <c r="E40" s="17">
        <v>-2.5</v>
      </c>
      <c r="F40" s="17"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  <c r="M40" s="17">
        <v>53687092.200000003</v>
      </c>
      <c r="N40" s="17">
        <v>0</v>
      </c>
      <c r="O40" s="17">
        <v>0</v>
      </c>
      <c r="P40" s="17">
        <v>0</v>
      </c>
      <c r="Q40" s="17">
        <v>0</v>
      </c>
      <c r="R40" s="17">
        <v>0</v>
      </c>
      <c r="T40" s="9" t="str">
        <v>x31</v>
      </c>
      <c r="W40" s="9">
        <v>0</v>
      </c>
    </row>
    <row r="41" spans="3:26" x14ac:dyDescent="0.3">
      <c r="C41" s="17">
        <v>0</v>
      </c>
      <c r="D41" s="17">
        <v>-53687092.200000003</v>
      </c>
      <c r="E41" s="17">
        <v>0</v>
      </c>
      <c r="F41" s="17">
        <v>-2.5</v>
      </c>
      <c r="G41" s="17">
        <v>0</v>
      </c>
      <c r="H41" s="17">
        <v>0</v>
      </c>
      <c r="I41" s="17">
        <v>0</v>
      </c>
      <c r="J41" s="17">
        <v>0</v>
      </c>
      <c r="K41" s="17">
        <v>0</v>
      </c>
      <c r="L41" s="17">
        <v>0</v>
      </c>
      <c r="M41" s="17">
        <v>0</v>
      </c>
      <c r="N41" s="17">
        <v>53687092.200000003</v>
      </c>
      <c r="O41" s="17">
        <v>0</v>
      </c>
      <c r="P41" s="17">
        <v>0</v>
      </c>
      <c r="Q41" s="17">
        <v>0</v>
      </c>
      <c r="R41" s="17">
        <v>0</v>
      </c>
      <c r="T41" s="9" t="str">
        <v>x41</v>
      </c>
      <c r="W41" s="9">
        <v>0</v>
      </c>
    </row>
    <row r="42" spans="3:26" x14ac:dyDescent="0.3">
      <c r="C42" s="17">
        <v>0</v>
      </c>
      <c r="D42" s="17">
        <v>0</v>
      </c>
      <c r="E42" s="17">
        <v>0</v>
      </c>
      <c r="F42" s="17">
        <v>0</v>
      </c>
      <c r="G42" s="17">
        <v>-2</v>
      </c>
      <c r="H42" s="17">
        <v>0</v>
      </c>
      <c r="I42" s="17">
        <v>53687092.200000003</v>
      </c>
      <c r="J42" s="17">
        <v>0</v>
      </c>
      <c r="K42" s="17">
        <v>0</v>
      </c>
      <c r="L42" s="17">
        <v>0</v>
      </c>
      <c r="M42" s="17">
        <v>0</v>
      </c>
      <c r="N42" s="17">
        <v>0</v>
      </c>
      <c r="O42" s="17">
        <v>53687092.200000003</v>
      </c>
      <c r="P42" s="17">
        <v>0</v>
      </c>
      <c r="Q42" s="17">
        <v>0</v>
      </c>
      <c r="R42" s="17">
        <v>0</v>
      </c>
      <c r="T42" s="9" t="str">
        <v>x12</v>
      </c>
      <c r="W42" s="9">
        <v>0</v>
      </c>
    </row>
    <row r="43" spans="3:26" x14ac:dyDescent="0.3">
      <c r="C43" s="17">
        <v>0</v>
      </c>
      <c r="D43" s="17">
        <v>0</v>
      </c>
      <c r="E43" s="17">
        <v>0</v>
      </c>
      <c r="F43" s="17">
        <v>0</v>
      </c>
      <c r="G43" s="17">
        <v>0</v>
      </c>
      <c r="H43" s="17">
        <v>-2</v>
      </c>
      <c r="I43" s="17">
        <v>0</v>
      </c>
      <c r="J43" s="17">
        <v>53687092.200000003</v>
      </c>
      <c r="K43" s="17">
        <v>0</v>
      </c>
      <c r="L43" s="17">
        <v>0</v>
      </c>
      <c r="M43" s="17">
        <v>0</v>
      </c>
      <c r="N43" s="17">
        <v>0</v>
      </c>
      <c r="O43" s="17">
        <v>0</v>
      </c>
      <c r="P43" s="17">
        <v>53687092.200000003</v>
      </c>
      <c r="Q43" s="17">
        <v>0</v>
      </c>
      <c r="R43" s="17">
        <v>0</v>
      </c>
      <c r="T43" s="9" t="str">
        <v>x22</v>
      </c>
      <c r="W43" s="9">
        <v>-5</v>
      </c>
    </row>
    <row r="44" spans="3:26" x14ac:dyDescent="0.3">
      <c r="C44" s="17">
        <v>0</v>
      </c>
      <c r="D44" s="17">
        <v>0</v>
      </c>
      <c r="E44" s="17">
        <v>0</v>
      </c>
      <c r="F44" s="17">
        <v>0</v>
      </c>
      <c r="G44" s="17">
        <v>-53687092.200000003</v>
      </c>
      <c r="H44" s="17">
        <v>0</v>
      </c>
      <c r="I44" s="17">
        <v>-2.5</v>
      </c>
      <c r="J44" s="17">
        <v>0</v>
      </c>
      <c r="K44" s="17">
        <v>0</v>
      </c>
      <c r="L44" s="17">
        <v>0</v>
      </c>
      <c r="M44" s="17">
        <v>0</v>
      </c>
      <c r="N44" s="17">
        <v>0</v>
      </c>
      <c r="O44" s="17">
        <v>0</v>
      </c>
      <c r="P44" s="17">
        <v>0</v>
      </c>
      <c r="Q44" s="17">
        <v>53687092.200000003</v>
      </c>
      <c r="R44" s="17">
        <v>0</v>
      </c>
      <c r="T44" s="9" t="str">
        <v>x32</v>
      </c>
      <c r="W44" s="9">
        <v>0</v>
      </c>
    </row>
    <row r="45" spans="3:26" x14ac:dyDescent="0.3">
      <c r="C45" s="17">
        <v>0</v>
      </c>
      <c r="D45" s="17">
        <v>0</v>
      </c>
      <c r="E45" s="17">
        <v>0</v>
      </c>
      <c r="F45" s="17">
        <v>0</v>
      </c>
      <c r="G45" s="17">
        <v>0</v>
      </c>
      <c r="H45" s="17">
        <v>-53687092.200000003</v>
      </c>
      <c r="I45" s="17">
        <v>0</v>
      </c>
      <c r="J45" s="17">
        <v>-2.5</v>
      </c>
      <c r="K45" s="17">
        <v>0</v>
      </c>
      <c r="L45" s="17">
        <v>0</v>
      </c>
      <c r="M45" s="17">
        <v>0</v>
      </c>
      <c r="N45" s="17">
        <v>0</v>
      </c>
      <c r="O45" s="17">
        <v>0</v>
      </c>
      <c r="P45" s="17">
        <v>0</v>
      </c>
      <c r="Q45" s="17">
        <v>0</v>
      </c>
      <c r="R45" s="17">
        <v>53687092.200000003</v>
      </c>
      <c r="T45" s="9" t="str">
        <v>x42</v>
      </c>
      <c r="W45" s="9">
        <v>0</v>
      </c>
    </row>
    <row r="46" spans="3:26" x14ac:dyDescent="0.3">
      <c r="C46" s="17">
        <v>-53687092.200000003</v>
      </c>
      <c r="D46" s="17">
        <v>0</v>
      </c>
      <c r="E46" s="17">
        <v>0</v>
      </c>
      <c r="F46" s="17">
        <v>0</v>
      </c>
      <c r="G46" s="17">
        <v>0</v>
      </c>
      <c r="H46" s="17">
        <v>0</v>
      </c>
      <c r="I46" s="17">
        <v>0</v>
      </c>
      <c r="J46" s="17">
        <v>0</v>
      </c>
      <c r="K46" s="17">
        <v>-2.5</v>
      </c>
      <c r="L46" s="17">
        <v>0</v>
      </c>
      <c r="M46" s="17">
        <v>53687092.200000003</v>
      </c>
      <c r="N46" s="17">
        <v>0</v>
      </c>
      <c r="O46" s="17">
        <v>0</v>
      </c>
      <c r="P46" s="17">
        <v>0</v>
      </c>
      <c r="Q46" s="17">
        <v>0</v>
      </c>
      <c r="R46" s="17">
        <v>0</v>
      </c>
      <c r="T46" s="9" t="str">
        <v>x13</v>
      </c>
      <c r="W46" s="9">
        <v>0</v>
      </c>
    </row>
    <row r="47" spans="3:26" x14ac:dyDescent="0.3">
      <c r="C47" s="17">
        <v>0</v>
      </c>
      <c r="D47" s="17">
        <v>-53687092.200000003</v>
      </c>
      <c r="E47" s="17">
        <v>0</v>
      </c>
      <c r="F47" s="17">
        <v>0</v>
      </c>
      <c r="G47" s="17">
        <v>0</v>
      </c>
      <c r="H47" s="17">
        <v>0</v>
      </c>
      <c r="I47" s="17">
        <v>0</v>
      </c>
      <c r="J47" s="17">
        <v>0</v>
      </c>
      <c r="K47" s="17">
        <v>0</v>
      </c>
      <c r="L47" s="17">
        <v>-2.5</v>
      </c>
      <c r="M47" s="17">
        <v>0</v>
      </c>
      <c r="N47" s="17">
        <v>53687092.200000003</v>
      </c>
      <c r="O47" s="17">
        <v>0</v>
      </c>
      <c r="P47" s="17">
        <v>0</v>
      </c>
      <c r="Q47" s="17">
        <v>0</v>
      </c>
      <c r="R47" s="17">
        <v>0</v>
      </c>
      <c r="T47" s="9" t="str">
        <v>x23</v>
      </c>
      <c r="W47" s="9">
        <v>0</v>
      </c>
    </row>
    <row r="48" spans="3:26" x14ac:dyDescent="0.3">
      <c r="C48" s="17">
        <v>0</v>
      </c>
      <c r="D48" s="17">
        <v>0</v>
      </c>
      <c r="E48" s="17">
        <v>-53687092.200000003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-53687092.200000003</v>
      </c>
      <c r="L48" s="17">
        <v>0</v>
      </c>
      <c r="M48" s="17">
        <v>-3</v>
      </c>
      <c r="N48" s="17">
        <v>0</v>
      </c>
      <c r="O48" s="17">
        <v>0</v>
      </c>
      <c r="P48" s="17">
        <v>0</v>
      </c>
      <c r="Q48" s="17">
        <v>0</v>
      </c>
      <c r="R48" s="17">
        <v>0</v>
      </c>
      <c r="T48" s="9" t="str">
        <v>x33</v>
      </c>
      <c r="W48" s="9">
        <v>-4</v>
      </c>
    </row>
    <row r="49" spans="3:23" x14ac:dyDescent="0.3">
      <c r="C49" s="17">
        <v>0</v>
      </c>
      <c r="D49" s="17">
        <v>0</v>
      </c>
      <c r="E49" s="17">
        <v>0</v>
      </c>
      <c r="F49" s="17">
        <v>-53687092.200000003</v>
      </c>
      <c r="G49" s="17">
        <v>0</v>
      </c>
      <c r="H49" s="17">
        <v>0</v>
      </c>
      <c r="I49" s="17">
        <v>0</v>
      </c>
      <c r="J49" s="17">
        <v>0</v>
      </c>
      <c r="K49" s="17">
        <v>0</v>
      </c>
      <c r="L49" s="17">
        <v>-53687092.200000003</v>
      </c>
      <c r="M49" s="17">
        <v>0</v>
      </c>
      <c r="N49" s="17">
        <v>-3</v>
      </c>
      <c r="O49" s="17">
        <v>0</v>
      </c>
      <c r="P49" s="17">
        <v>0</v>
      </c>
      <c r="Q49" s="17">
        <v>0</v>
      </c>
      <c r="R49" s="17">
        <v>0</v>
      </c>
      <c r="T49" s="9" t="str">
        <v>x43</v>
      </c>
      <c r="W49" s="9">
        <v>0</v>
      </c>
    </row>
    <row r="50" spans="3:23" x14ac:dyDescent="0.3">
      <c r="C50" s="17">
        <v>0</v>
      </c>
      <c r="D50" s="17">
        <v>0</v>
      </c>
      <c r="E50" s="17">
        <v>0</v>
      </c>
      <c r="F50" s="17">
        <v>0</v>
      </c>
      <c r="G50" s="17">
        <v>-53687092.200000003</v>
      </c>
      <c r="H50" s="17">
        <v>0</v>
      </c>
      <c r="I50" s="17">
        <v>0</v>
      </c>
      <c r="J50" s="17">
        <v>0</v>
      </c>
      <c r="K50" s="17">
        <v>0</v>
      </c>
      <c r="L50" s="17">
        <v>0</v>
      </c>
      <c r="M50" s="17">
        <v>0</v>
      </c>
      <c r="N50" s="17">
        <v>0</v>
      </c>
      <c r="O50" s="17">
        <v>-2.5</v>
      </c>
      <c r="P50" s="17">
        <v>0</v>
      </c>
      <c r="Q50" s="17">
        <v>53687092.200000003</v>
      </c>
      <c r="R50" s="17">
        <v>0</v>
      </c>
      <c r="T50" s="9" t="str">
        <v>x14</v>
      </c>
      <c r="W50" s="9">
        <v>0</v>
      </c>
    </row>
    <row r="51" spans="3:23" x14ac:dyDescent="0.3">
      <c r="C51" s="17">
        <v>0</v>
      </c>
      <c r="D51" s="17">
        <v>0</v>
      </c>
      <c r="E51" s="17">
        <v>0</v>
      </c>
      <c r="F51" s="17">
        <v>0</v>
      </c>
      <c r="G51" s="17">
        <v>0</v>
      </c>
      <c r="H51" s="17">
        <v>-53687092.200000003</v>
      </c>
      <c r="I51" s="17">
        <v>0</v>
      </c>
      <c r="J51" s="17">
        <v>0</v>
      </c>
      <c r="K51" s="17">
        <v>0</v>
      </c>
      <c r="L51" s="17">
        <v>0</v>
      </c>
      <c r="M51" s="17">
        <v>0</v>
      </c>
      <c r="N51" s="17">
        <v>0</v>
      </c>
      <c r="O51" s="17">
        <v>0</v>
      </c>
      <c r="P51" s="17">
        <v>-2.5</v>
      </c>
      <c r="Q51" s="17">
        <v>0</v>
      </c>
      <c r="R51" s="17">
        <v>53687092.200000003</v>
      </c>
      <c r="T51" s="9" t="str">
        <v>x24</v>
      </c>
      <c r="W51" s="9">
        <v>0</v>
      </c>
    </row>
    <row r="52" spans="3:23" x14ac:dyDescent="0.3">
      <c r="C52" s="17">
        <v>0</v>
      </c>
      <c r="D52" s="17">
        <v>0</v>
      </c>
      <c r="E52" s="17">
        <v>0</v>
      </c>
      <c r="F52" s="17">
        <v>0</v>
      </c>
      <c r="G52" s="17">
        <v>0</v>
      </c>
      <c r="H52" s="17">
        <v>0</v>
      </c>
      <c r="I52" s="17">
        <v>-53687092.200000003</v>
      </c>
      <c r="J52" s="17">
        <v>0</v>
      </c>
      <c r="K52" s="17">
        <v>0</v>
      </c>
      <c r="L52" s="17">
        <v>0</v>
      </c>
      <c r="M52" s="17">
        <v>0</v>
      </c>
      <c r="N52" s="17">
        <v>0</v>
      </c>
      <c r="O52" s="17">
        <v>-53687092.200000003</v>
      </c>
      <c r="P52" s="17">
        <v>0</v>
      </c>
      <c r="Q52" s="17">
        <v>-3</v>
      </c>
      <c r="R52" s="17">
        <v>0</v>
      </c>
      <c r="T52" s="9" t="str">
        <v>x34</v>
      </c>
      <c r="W52" s="9">
        <v>0</v>
      </c>
    </row>
    <row r="53" spans="3:23" x14ac:dyDescent="0.3">
      <c r="C53" s="17">
        <v>0</v>
      </c>
      <c r="D53" s="17">
        <v>0</v>
      </c>
      <c r="E53" s="17">
        <v>0</v>
      </c>
      <c r="F53" s="17">
        <v>0</v>
      </c>
      <c r="G53" s="17">
        <v>0</v>
      </c>
      <c r="H53" s="17">
        <v>0</v>
      </c>
      <c r="I53" s="17">
        <v>0</v>
      </c>
      <c r="J53" s="17">
        <v>-53687092.200000003</v>
      </c>
      <c r="K53" s="17">
        <v>0</v>
      </c>
      <c r="L53" s="17">
        <v>0</v>
      </c>
      <c r="M53" s="17">
        <v>0</v>
      </c>
      <c r="N53" s="17">
        <v>0</v>
      </c>
      <c r="O53" s="17">
        <v>0</v>
      </c>
      <c r="P53" s="17">
        <v>-53687092.200000003</v>
      </c>
      <c r="Q53" s="17">
        <v>0</v>
      </c>
      <c r="R53" s="17">
        <v>-3</v>
      </c>
      <c r="T53" s="9" t="str">
        <v>x44</v>
      </c>
      <c r="W53" s="9">
        <v>-4</v>
      </c>
    </row>
    <row r="55" spans="3:23" x14ac:dyDescent="0.3">
      <c r="T55" s="9" t="str">
        <f t="shared" ref="T55:T70" si="2">T38</f>
        <v>x11</v>
      </c>
      <c r="V55" s="52" t="s">
        <v>5</v>
      </c>
      <c r="W55" s="9">
        <f t="array" ref="W55:W70">MMULT( MINVERSE(C38:R53), W38:W53)</f>
        <v>1.8000000000000003</v>
      </c>
    </row>
    <row r="56" spans="3:23" x14ac:dyDescent="0.3">
      <c r="T56" s="9" t="str">
        <f t="shared" si="2"/>
        <v>x21</v>
      </c>
      <c r="W56" s="9">
        <v>0</v>
      </c>
    </row>
    <row r="57" spans="3:23" x14ac:dyDescent="0.3">
      <c r="T57" s="9" t="str">
        <f t="shared" si="2"/>
        <v>x31</v>
      </c>
      <c r="W57" s="9">
        <v>-1.3038515801755413E-8</v>
      </c>
    </row>
    <row r="58" spans="3:23" x14ac:dyDescent="0.3">
      <c r="T58" s="9" t="str">
        <f t="shared" si="2"/>
        <v>x41</v>
      </c>
      <c r="W58" s="9">
        <v>0</v>
      </c>
    </row>
    <row r="59" spans="3:23" x14ac:dyDescent="0.3">
      <c r="T59" s="9" t="str">
        <f t="shared" si="2"/>
        <v>x12</v>
      </c>
      <c r="W59" s="9">
        <v>0</v>
      </c>
    </row>
    <row r="60" spans="3:23" x14ac:dyDescent="0.3">
      <c r="T60" s="9" t="str">
        <f t="shared" si="2"/>
        <v>x22</v>
      </c>
      <c r="W60" s="9">
        <v>1.8000000000000003</v>
      </c>
    </row>
    <row r="61" spans="3:23" x14ac:dyDescent="0.3">
      <c r="T61" s="9" t="str">
        <f t="shared" si="2"/>
        <v>x32</v>
      </c>
      <c r="W61" s="9">
        <v>0</v>
      </c>
    </row>
    <row r="62" spans="3:23" x14ac:dyDescent="0.3">
      <c r="T62" s="9" t="str">
        <f t="shared" si="2"/>
        <v>x42</v>
      </c>
      <c r="W62" s="9">
        <v>-1.3038515801755413E-8</v>
      </c>
    </row>
    <row r="63" spans="3:23" x14ac:dyDescent="0.3">
      <c r="T63" s="9" t="str">
        <f t="shared" si="2"/>
        <v>x13</v>
      </c>
      <c r="W63" s="9">
        <v>-1.3038515801755413E-8</v>
      </c>
    </row>
    <row r="64" spans="3:23" x14ac:dyDescent="0.3">
      <c r="T64" s="9" t="str">
        <f t="shared" si="2"/>
        <v>x23</v>
      </c>
      <c r="W64" s="9">
        <v>0</v>
      </c>
    </row>
    <row r="65" spans="16:31" x14ac:dyDescent="0.3">
      <c r="T65" s="9" t="str">
        <f t="shared" si="2"/>
        <v>x33</v>
      </c>
      <c r="W65" s="9">
        <v>1.7999999999999998</v>
      </c>
    </row>
    <row r="66" spans="16:31" x14ac:dyDescent="0.3">
      <c r="T66" s="9" t="str">
        <f t="shared" si="2"/>
        <v>x43</v>
      </c>
      <c r="W66" s="9">
        <v>0</v>
      </c>
    </row>
    <row r="67" spans="16:31" x14ac:dyDescent="0.3">
      <c r="T67" s="9" t="str">
        <f t="shared" si="2"/>
        <v>x14</v>
      </c>
      <c r="W67" s="9">
        <v>0</v>
      </c>
    </row>
    <row r="68" spans="16:31" x14ac:dyDescent="0.3">
      <c r="T68" s="9" t="str">
        <f t="shared" si="2"/>
        <v>x24</v>
      </c>
      <c r="W68" s="9">
        <v>-1.3038515801755413E-8</v>
      </c>
    </row>
    <row r="69" spans="16:31" x14ac:dyDescent="0.3">
      <c r="T69" s="9" t="str">
        <f t="shared" si="2"/>
        <v>x34</v>
      </c>
      <c r="W69" s="9">
        <v>0</v>
      </c>
    </row>
    <row r="70" spans="16:31" x14ac:dyDescent="0.3">
      <c r="T70" s="9" t="str">
        <f t="shared" si="2"/>
        <v>x44</v>
      </c>
      <c r="W70" s="9">
        <v>1.7999999999999998</v>
      </c>
    </row>
    <row r="72" spans="16:31" x14ac:dyDescent="0.3">
      <c r="P72" s="26" t="s">
        <v>70</v>
      </c>
      <c r="Q72" s="9" t="s">
        <v>46</v>
      </c>
      <c r="R72" s="9" t="s">
        <v>47</v>
      </c>
      <c r="S72" s="9" t="s">
        <v>48</v>
      </c>
      <c r="T72" s="9" t="s">
        <v>49</v>
      </c>
      <c r="V72" s="52" t="s">
        <v>5</v>
      </c>
      <c r="W72" s="18">
        <f t="shared" ref="W72:W75" si="3">W55</f>
        <v>1.8000000000000003</v>
      </c>
      <c r="X72" s="18">
        <f t="shared" ref="X72:X75" si="4">W59</f>
        <v>0</v>
      </c>
      <c r="Y72" s="17">
        <f t="shared" ref="Y72:Y75" si="5">W63</f>
        <v>-1.3038515801755413E-8</v>
      </c>
      <c r="Z72" s="17">
        <f t="shared" ref="Z72:Z75" si="6">W67</f>
        <v>0</v>
      </c>
    </row>
    <row r="73" spans="16:31" x14ac:dyDescent="0.3">
      <c r="Q73" s="9" t="s">
        <v>50</v>
      </c>
      <c r="R73" s="9" t="s">
        <v>51</v>
      </c>
      <c r="S73" s="9" t="s">
        <v>52</v>
      </c>
      <c r="T73" s="9" t="s">
        <v>53</v>
      </c>
      <c r="W73" s="18">
        <f t="shared" si="3"/>
        <v>0</v>
      </c>
      <c r="X73" s="18">
        <f t="shared" si="4"/>
        <v>1.8000000000000003</v>
      </c>
      <c r="Y73" s="17">
        <f t="shared" si="5"/>
        <v>0</v>
      </c>
      <c r="Z73" s="17">
        <f t="shared" si="6"/>
        <v>-1.3038515801755413E-8</v>
      </c>
    </row>
    <row r="74" spans="16:31" x14ac:dyDescent="0.3">
      <c r="Q74" s="9" t="s">
        <v>54</v>
      </c>
      <c r="R74" s="9" t="s">
        <v>56</v>
      </c>
      <c r="S74" s="9" t="s">
        <v>57</v>
      </c>
      <c r="T74" s="9" t="s">
        <v>58</v>
      </c>
      <c r="W74" s="17">
        <f t="shared" si="3"/>
        <v>-1.3038515801755413E-8</v>
      </c>
      <c r="X74" s="17">
        <f t="shared" si="4"/>
        <v>0</v>
      </c>
      <c r="Y74" s="21">
        <f t="shared" si="5"/>
        <v>1.7999999999999998</v>
      </c>
      <c r="Z74" s="21">
        <f t="shared" si="6"/>
        <v>0</v>
      </c>
    </row>
    <row r="75" spans="16:31" x14ac:dyDescent="0.3">
      <c r="Q75" s="9" t="s">
        <v>55</v>
      </c>
      <c r="R75" s="9" t="s">
        <v>59</v>
      </c>
      <c r="S75" s="9" t="s">
        <v>60</v>
      </c>
      <c r="T75" s="9" t="s">
        <v>61</v>
      </c>
      <c r="W75" s="17">
        <f t="shared" si="3"/>
        <v>0</v>
      </c>
      <c r="X75" s="17">
        <f t="shared" si="4"/>
        <v>-1.3038515801755413E-8</v>
      </c>
      <c r="Y75" s="21">
        <f t="shared" si="5"/>
        <v>0</v>
      </c>
      <c r="Z75" s="21">
        <f t="shared" si="6"/>
        <v>1.7999999999999998</v>
      </c>
      <c r="AE75" s="20"/>
    </row>
    <row r="78" spans="16:31" x14ac:dyDescent="0.3">
      <c r="V78" s="24" t="s">
        <v>64</v>
      </c>
      <c r="W78" s="29">
        <f t="array" ref="W78">MDETERM(W72:X73)</f>
        <v>3.2400000000000011</v>
      </c>
    </row>
    <row r="84" spans="4:27" x14ac:dyDescent="0.3">
      <c r="D84" s="68" t="s">
        <v>0</v>
      </c>
      <c r="E84" s="68"/>
      <c r="F84" s="68"/>
      <c r="G84" s="68"/>
      <c r="H84" s="52" t="s">
        <v>45</v>
      </c>
      <c r="I84" s="68" t="s">
        <v>65</v>
      </c>
      <c r="J84" s="68"/>
      <c r="K84" s="68"/>
      <c r="L84" s="68"/>
      <c r="M84" s="51" t="s">
        <v>3</v>
      </c>
      <c r="N84" s="68" t="s">
        <v>65</v>
      </c>
      <c r="O84" s="68"/>
      <c r="P84" s="68"/>
      <c r="Q84" s="68"/>
      <c r="R84" s="52" t="s">
        <v>45</v>
      </c>
      <c r="S84" s="68" t="s">
        <v>15</v>
      </c>
      <c r="T84" s="68"/>
      <c r="U84" s="68"/>
      <c r="V84" s="68"/>
      <c r="W84" s="52"/>
      <c r="X84" s="68"/>
      <c r="Y84" s="68"/>
      <c r="Z84" s="68"/>
      <c r="AA84" s="68"/>
    </row>
    <row r="85" spans="4:27" x14ac:dyDescent="0.3">
      <c r="D85" s="36">
        <f t="array" ref="D85:G88">O21:R24</f>
        <v>-1</v>
      </c>
      <c r="E85" s="36">
        <v>0</v>
      </c>
      <c r="F85" s="36">
        <v>53687092.200000003</v>
      </c>
      <c r="G85" s="36">
        <v>0</v>
      </c>
      <c r="I85" s="36">
        <f t="array" ref="I85:L88">W72:Z75</f>
        <v>1.8000000000000003</v>
      </c>
      <c r="J85" s="36">
        <v>0</v>
      </c>
      <c r="K85" s="36">
        <v>-1.3038515801755413E-8</v>
      </c>
      <c r="L85" s="36">
        <v>0</v>
      </c>
      <c r="M85" t="s">
        <v>3</v>
      </c>
      <c r="N85" s="36">
        <f t="array" ref="N85:Q88">I85:L88</f>
        <v>1.8000000000000003</v>
      </c>
      <c r="O85" s="36">
        <v>0</v>
      </c>
      <c r="P85" s="36">
        <v>-1.3038515801755413E-8</v>
      </c>
      <c r="Q85" s="36">
        <v>0</v>
      </c>
      <c r="S85" s="36">
        <f t="array" ref="S85:V88">TRANSPOSE(D85:G88)</f>
        <v>-1</v>
      </c>
      <c r="T85" s="36">
        <v>0</v>
      </c>
      <c r="U85" s="36">
        <v>-53687092.200000003</v>
      </c>
      <c r="V85" s="36">
        <v>0</v>
      </c>
      <c r="W85" s="33"/>
    </row>
    <row r="86" spans="4:27" x14ac:dyDescent="0.3">
      <c r="D86" s="36">
        <v>0</v>
      </c>
      <c r="E86" s="36">
        <v>-1</v>
      </c>
      <c r="F86" s="36">
        <v>0</v>
      </c>
      <c r="G86" s="36">
        <v>53687092.200000003</v>
      </c>
      <c r="I86" s="36">
        <v>0</v>
      </c>
      <c r="J86" s="36">
        <v>1.8000000000000003</v>
      </c>
      <c r="K86" s="36">
        <v>0</v>
      </c>
      <c r="L86" s="36">
        <v>-1.3038515801755413E-8</v>
      </c>
      <c r="N86" s="36">
        <v>0</v>
      </c>
      <c r="O86" s="36">
        <v>1.8000000000000003</v>
      </c>
      <c r="P86" s="36">
        <v>0</v>
      </c>
      <c r="Q86" s="36">
        <v>-1.3038515801755413E-8</v>
      </c>
      <c r="S86" s="36">
        <v>0</v>
      </c>
      <c r="T86" s="36">
        <v>-1</v>
      </c>
      <c r="U86" s="36">
        <v>0</v>
      </c>
      <c r="V86" s="36">
        <v>-53687092.200000003</v>
      </c>
    </row>
    <row r="87" spans="4:27" x14ac:dyDescent="0.3">
      <c r="D87" s="36">
        <v>-53687092.200000003</v>
      </c>
      <c r="E87" s="36">
        <v>0</v>
      </c>
      <c r="F87" s="36">
        <v>-1.5</v>
      </c>
      <c r="G87" s="36">
        <v>0</v>
      </c>
      <c r="I87" s="36">
        <v>-1.3038515801755413E-8</v>
      </c>
      <c r="J87" s="36">
        <v>0</v>
      </c>
      <c r="K87" s="36">
        <v>1.7999999999999998</v>
      </c>
      <c r="L87" s="36">
        <v>0</v>
      </c>
      <c r="N87" s="36">
        <v>-1.3038515801755413E-8</v>
      </c>
      <c r="O87" s="36">
        <v>0</v>
      </c>
      <c r="P87" s="37">
        <v>1.7999999999999998</v>
      </c>
      <c r="Q87" s="36">
        <v>0</v>
      </c>
      <c r="S87" s="36">
        <v>53687092.200000003</v>
      </c>
      <c r="T87" s="36">
        <v>0</v>
      </c>
      <c r="U87" s="36">
        <v>-1.5</v>
      </c>
      <c r="V87" s="36">
        <v>0</v>
      </c>
    </row>
    <row r="88" spans="4:27" x14ac:dyDescent="0.3">
      <c r="D88" s="36">
        <v>0</v>
      </c>
      <c r="E88" s="36">
        <v>-53687092.200000003</v>
      </c>
      <c r="F88" s="36">
        <v>0</v>
      </c>
      <c r="G88" s="36">
        <v>-1.5</v>
      </c>
      <c r="I88" s="36">
        <v>0</v>
      </c>
      <c r="J88" s="36">
        <v>-1.3038515801755413E-8</v>
      </c>
      <c r="K88" s="36">
        <v>0</v>
      </c>
      <c r="L88" s="36">
        <v>1.7999999999999998</v>
      </c>
      <c r="N88" s="36">
        <v>0</v>
      </c>
      <c r="O88" s="36">
        <v>-1.3038515801755413E-8</v>
      </c>
      <c r="P88" s="36">
        <v>0</v>
      </c>
      <c r="Q88" s="36">
        <v>1.7999999999999998</v>
      </c>
      <c r="S88" s="36">
        <v>0</v>
      </c>
      <c r="T88" s="36">
        <v>53687092.200000003</v>
      </c>
      <c r="U88" s="36">
        <v>0</v>
      </c>
      <c r="V88" s="36">
        <v>-1.5</v>
      </c>
    </row>
    <row r="89" spans="4:27" x14ac:dyDescent="0.3">
      <c r="D89" s="36"/>
      <c r="E89" s="36"/>
      <c r="F89" s="36"/>
      <c r="G89" s="36"/>
      <c r="I89" s="36"/>
      <c r="J89" s="36"/>
      <c r="K89" s="36"/>
      <c r="L89" s="36"/>
      <c r="N89" s="36"/>
      <c r="O89" s="36"/>
      <c r="P89" s="36"/>
      <c r="Q89" s="36"/>
      <c r="S89" s="36"/>
      <c r="T89" s="36"/>
      <c r="U89" s="36"/>
      <c r="V89" s="36"/>
    </row>
    <row r="90" spans="4:27" x14ac:dyDescent="0.3">
      <c r="D90" s="68" t="s">
        <v>80</v>
      </c>
      <c r="E90" s="68"/>
      <c r="F90" s="68"/>
      <c r="G90" s="68"/>
      <c r="I90" s="36"/>
      <c r="N90" s="68" t="s">
        <v>81</v>
      </c>
      <c r="O90" s="68"/>
      <c r="P90" s="68"/>
      <c r="Q90" s="68"/>
    </row>
    <row r="91" spans="4:27" x14ac:dyDescent="0.3">
      <c r="D91" s="36">
        <f t="array" ref="D91:G94">MMULT(D85:G88,I85:L88)</f>
        <v>-2.5</v>
      </c>
      <c r="E91" s="36">
        <v>0</v>
      </c>
      <c r="F91" s="36">
        <v>96636765.960000008</v>
      </c>
      <c r="G91" s="36">
        <v>0</v>
      </c>
      <c r="N91" s="36">
        <f t="array" ref="N91:Q94">MMULT(N85:Q88,S85:V88)</f>
        <v>-2.5</v>
      </c>
      <c r="O91" s="36">
        <v>0</v>
      </c>
      <c r="P91" s="36">
        <v>-96636765.960000008</v>
      </c>
      <c r="Q91" s="36">
        <v>0</v>
      </c>
    </row>
    <row r="92" spans="4:27" x14ac:dyDescent="0.3">
      <c r="D92" s="36">
        <v>0</v>
      </c>
      <c r="E92" s="36">
        <v>-2.5</v>
      </c>
      <c r="F92" s="36">
        <v>0</v>
      </c>
      <c r="G92" s="36">
        <v>96636765.960000008</v>
      </c>
      <c r="N92" s="36">
        <v>0</v>
      </c>
      <c r="O92" s="36">
        <v>-2.5</v>
      </c>
      <c r="P92" s="36">
        <v>0</v>
      </c>
      <c r="Q92" s="36">
        <v>-96636765.960000008</v>
      </c>
    </row>
    <row r="93" spans="4:27" x14ac:dyDescent="0.3">
      <c r="D93" s="36">
        <v>-96636765.960000008</v>
      </c>
      <c r="E93" s="36">
        <v>0</v>
      </c>
      <c r="F93" s="36">
        <v>-2</v>
      </c>
      <c r="G93" s="36">
        <v>0</v>
      </c>
      <c r="N93" s="36">
        <v>96636765.960000008</v>
      </c>
      <c r="O93" s="36">
        <v>0</v>
      </c>
      <c r="P93" s="36">
        <v>-2</v>
      </c>
      <c r="Q93" s="36">
        <v>0</v>
      </c>
    </row>
    <row r="94" spans="4:27" x14ac:dyDescent="0.3">
      <c r="D94" s="36">
        <v>0</v>
      </c>
      <c r="E94" s="36">
        <v>-96636765.960000008</v>
      </c>
      <c r="F94" s="36">
        <v>0</v>
      </c>
      <c r="G94" s="36">
        <v>-2</v>
      </c>
      <c r="N94" s="36">
        <v>0</v>
      </c>
      <c r="O94" s="36">
        <v>96636765.960000008</v>
      </c>
      <c r="P94" s="36">
        <v>0</v>
      </c>
      <c r="Q94" s="36">
        <v>-2</v>
      </c>
    </row>
    <row r="95" spans="4:27" x14ac:dyDescent="0.3">
      <c r="D95" s="36"/>
      <c r="E95" s="36"/>
      <c r="F95" s="36"/>
      <c r="G95" s="36"/>
      <c r="N95" s="36"/>
      <c r="O95" s="36"/>
      <c r="P95" s="36"/>
      <c r="Q95" s="36"/>
    </row>
    <row r="96" spans="4:27" x14ac:dyDescent="0.3">
      <c r="D96" s="69" t="s">
        <v>66</v>
      </c>
      <c r="E96" s="68"/>
      <c r="F96" s="68"/>
      <c r="G96" s="68"/>
    </row>
    <row r="97" spans="4:7" x14ac:dyDescent="0.3">
      <c r="D97" s="36">
        <f t="array" ref="D97:G100">D91:G94+N91:Q94</f>
        <v>-5</v>
      </c>
      <c r="E97" s="36">
        <v>0</v>
      </c>
      <c r="F97" s="36">
        <v>0</v>
      </c>
      <c r="G97" s="36">
        <v>0</v>
      </c>
    </row>
    <row r="98" spans="4:7" x14ac:dyDescent="0.3">
      <c r="D98" s="36">
        <v>0</v>
      </c>
      <c r="E98" s="36">
        <v>-5</v>
      </c>
      <c r="F98" s="36">
        <v>0</v>
      </c>
      <c r="G98" s="36">
        <v>0</v>
      </c>
    </row>
    <row r="99" spans="4:7" x14ac:dyDescent="0.3">
      <c r="D99" s="36">
        <v>0</v>
      </c>
      <c r="E99" s="36">
        <v>0</v>
      </c>
      <c r="F99" s="36">
        <v>-4</v>
      </c>
      <c r="G99" s="36">
        <v>0</v>
      </c>
    </row>
    <row r="100" spans="4:7" x14ac:dyDescent="0.3">
      <c r="D100" s="36">
        <v>0</v>
      </c>
      <c r="E100" s="36">
        <v>0</v>
      </c>
      <c r="F100" s="36">
        <v>0</v>
      </c>
      <c r="G100" s="36">
        <v>-4</v>
      </c>
    </row>
    <row r="102" spans="4:7" x14ac:dyDescent="0.3">
      <c r="D102" t="b">
        <f t="array" ref="D102:G105">ROUND(D97:G100,2)=-C13:F16</f>
        <v>1</v>
      </c>
      <c r="E102" t="b">
        <v>1</v>
      </c>
      <c r="F102" t="b">
        <v>1</v>
      </c>
      <c r="G102" t="b">
        <v>1</v>
      </c>
    </row>
    <row r="103" spans="4:7" x14ac:dyDescent="0.3">
      <c r="D103" t="b">
        <v>1</v>
      </c>
      <c r="E103" t="b">
        <v>1</v>
      </c>
      <c r="F103" t="b">
        <v>1</v>
      </c>
      <c r="G103" t="b">
        <v>1</v>
      </c>
    </row>
    <row r="104" spans="4:7" x14ac:dyDescent="0.3">
      <c r="D104" t="b">
        <v>1</v>
      </c>
      <c r="E104" t="b">
        <v>1</v>
      </c>
      <c r="F104" t="b">
        <v>1</v>
      </c>
      <c r="G104" t="b">
        <v>1</v>
      </c>
    </row>
    <row r="105" spans="4:7" x14ac:dyDescent="0.3">
      <c r="D105" t="b">
        <v>1</v>
      </c>
      <c r="E105" t="b">
        <v>1</v>
      </c>
      <c r="F105" t="b">
        <v>1</v>
      </c>
      <c r="G105" t="b">
        <v>1</v>
      </c>
    </row>
  </sheetData>
  <mergeCells count="15">
    <mergeCell ref="S84:V84"/>
    <mergeCell ref="X84:AA84"/>
    <mergeCell ref="H20:K20"/>
    <mergeCell ref="C31:F31"/>
    <mergeCell ref="H31:K31"/>
    <mergeCell ref="M31:P31"/>
    <mergeCell ref="R31:U31"/>
    <mergeCell ref="W31:Z31"/>
    <mergeCell ref="D90:G90"/>
    <mergeCell ref="N90:Q90"/>
    <mergeCell ref="D96:G96"/>
    <mergeCell ref="C37:R37"/>
    <mergeCell ref="D84:G84"/>
    <mergeCell ref="I84:L84"/>
    <mergeCell ref="N84:Q84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Sheet1</vt:lpstr>
      <vt:lpstr>Sheet2</vt:lpstr>
      <vt:lpstr>SigmaSolver</vt:lpstr>
      <vt:lpstr>1Mode case</vt:lpstr>
      <vt:lpstr>2Mode Case</vt:lpstr>
      <vt:lpstr>2Mode Case (Cooling )</vt:lpstr>
      <vt:lpstr>2Mode Case (Beamsplitter TBC)</vt:lpstr>
      <vt:lpstr>'2Mode Case'!Chi</vt:lpstr>
      <vt:lpstr>'2Mode Case (Beamsplitter TBC)'!Chi</vt:lpstr>
      <vt:lpstr>'2Mode Case (Cooling )'!Chi_1</vt:lpstr>
      <vt:lpstr>'2Mode Case (Cooling )'!Chi_2</vt:lpstr>
      <vt:lpstr>'2Mode Case'!Diffusion</vt:lpstr>
      <vt:lpstr>'2Mode Case (Beamsplitter TBC)'!Diffusion</vt:lpstr>
      <vt:lpstr>'2Mode Case (Cooling )'!Diffusion</vt:lpstr>
      <vt:lpstr>'2Mode Case'!Drift</vt:lpstr>
      <vt:lpstr>'2Mode Case (Beamsplitter TBC)'!Drift</vt:lpstr>
      <vt:lpstr>'2Mode Case (Cooling )'!Drift</vt:lpstr>
      <vt:lpstr>'1Mode case'!Hamiltonian</vt:lpstr>
      <vt:lpstr>'2Mode Case'!Hamiltonian</vt:lpstr>
      <vt:lpstr>'2Mode Case (Beamsplitter TBC)'!Hamiltonian</vt:lpstr>
      <vt:lpstr>'2Mode Case (Cooling )'!Hamiltonian</vt:lpstr>
      <vt:lpstr>'2Mode Case (Beamsplitter TBC)'!Identity</vt:lpstr>
      <vt:lpstr>'2Mode Case (Cooling )'!Identity</vt:lpstr>
      <vt:lpstr>Identity</vt:lpstr>
      <vt:lpstr>'2Mode Case (Cooling )'!Kappa1</vt:lpstr>
      <vt:lpstr>'2Mode Case (Cooling )'!Kappa2</vt:lpstr>
      <vt:lpstr>'2Mode Case'!Lower</vt:lpstr>
      <vt:lpstr>'2Mode Case (Beamsplitter TBC)'!Lower</vt:lpstr>
      <vt:lpstr>'2Mode Case (Cooling )'!Lower</vt:lpstr>
      <vt:lpstr>'2Mode Case (Cooling )'!N</vt:lpstr>
      <vt:lpstr>'1Mode case'!Symplectic</vt:lpstr>
      <vt:lpstr>'2Mode Case'!Symplectic</vt:lpstr>
      <vt:lpstr>'2Mode Case (Beamsplitter TBC)'!Symplectic</vt:lpstr>
      <vt:lpstr>'2Mode Case (Cooling )'!Symplectic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Razzle</dc:creator>
  <cp:lastModifiedBy>Razzle</cp:lastModifiedBy>
  <dcterms:created xsi:type="dcterms:W3CDTF">2017-06-09T12:09:33Z</dcterms:created>
  <dcterms:modified xsi:type="dcterms:W3CDTF">2017-08-06T12:39:02Z</dcterms:modified>
</cp:coreProperties>
</file>