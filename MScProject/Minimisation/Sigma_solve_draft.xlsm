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zzle\Dropbox\UCL\Project\Final report\MScProject\Minimisation\"/>
    </mc:Choice>
  </mc:AlternateContent>
  <bookViews>
    <workbookView xWindow="0" yWindow="0" windowWidth="23040" windowHeight="9084" tabRatio="658" firstSheet="4" activeTab="5"/>
  </bookViews>
  <sheets>
    <sheet name="Sheet1" sheetId="1" state="hidden" r:id="rId1"/>
    <sheet name="Sheet2" sheetId="2" state="hidden" r:id="rId2"/>
    <sheet name="SigmaSolver" sheetId="3" r:id="rId3"/>
    <sheet name="1Mode case" sheetId="6" r:id="rId4"/>
    <sheet name="2Mode Case" sheetId="5" r:id="rId5"/>
    <sheet name="2Mode Case (Cooling )" sheetId="13" r:id="rId6"/>
    <sheet name="Sheet4" sheetId="16" r:id="rId7"/>
    <sheet name="Sheet3" sheetId="15" r:id="rId8"/>
  </sheets>
  <functionGroups builtInGroupCount="18"/>
  <externalReferences>
    <externalReference r:id="rId9"/>
  </externalReferences>
  <definedNames>
    <definedName name="Chi" localSheetId="4">'2Mode Case'!$C$3</definedName>
    <definedName name="Chi_1" localSheetId="5">'2Mode Case (Cooling )'!$C$11</definedName>
    <definedName name="Chi_2" localSheetId="5">'2Mode Case (Cooling )'!$C$12</definedName>
    <definedName name="Diffusion" localSheetId="4">'2Mode Case'!$C$11:$F$14</definedName>
    <definedName name="Diffusion" localSheetId="5">'2Mode Case (Cooling )'!$C$13:$F$16</definedName>
    <definedName name="Drift" localSheetId="4">'2Mode Case'!$O$17:$R$20</definedName>
    <definedName name="Drift" localSheetId="5">'2Mode Case (Cooling )'!$O$21:$R$24</definedName>
    <definedName name="Hamiltonian" localSheetId="3">'1Mode case'!$C$9:$D$10</definedName>
    <definedName name="Hamiltonian" localSheetId="4">'2Mode Case'!$O$5:$R$8</definedName>
    <definedName name="Hamiltonian" localSheetId="5">'2Mode Case (Cooling )'!$O$5:$R$8</definedName>
    <definedName name="Identity" localSheetId="5">'2Mode Case (Cooling )'!$C$26:$F$29</definedName>
    <definedName name="Identity" localSheetId="7">'[1]2Mode Case'!$C$22:$F$25</definedName>
    <definedName name="Identity">'2Mode Case'!$C$22:$F$25</definedName>
    <definedName name="Kappa1" localSheetId="5">'2Mode Case (Cooling )'!$C$18</definedName>
    <definedName name="Kappa2" localSheetId="5">'2Mode Case (Cooling )'!$C$19</definedName>
    <definedName name="Lower" localSheetId="4">'2Mode Case'!$H$5:$K$8</definedName>
    <definedName name="Lower" localSheetId="5">'2Mode Case (Cooling )'!$H$5:$K$8</definedName>
    <definedName name="N" localSheetId="5">'2Mode Case (Cooling )'!$O$5</definedName>
    <definedName name="solver_adj" localSheetId="3" hidden="1">'1Mode case'!$C$2:$C$4</definedName>
    <definedName name="solver_adj" localSheetId="4" hidden="1">'2Mode Case'!$I$3,'2Mode Case'!$K$3,'2Mode Case'!$N$3,'2Mode Case'!$R$3</definedName>
    <definedName name="solver_adj" localSheetId="5" hidden="1">'2Mode Case (Cooling )'!$J$3:$R$3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neg" localSheetId="3" hidden="1">2</definedName>
    <definedName name="solver_neg" localSheetId="4" hidden="1">2</definedName>
    <definedName name="solver_neg" localSheetId="5" hidden="1">2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um" localSheetId="3" hidden="1">0</definedName>
    <definedName name="solver_num" localSheetId="4" hidden="1">0</definedName>
    <definedName name="solver_num" localSheetId="5" hidden="1">0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opt" localSheetId="3" hidden="1">'1Mode case'!$J$2</definedName>
    <definedName name="solver_opt" localSheetId="4" hidden="1">'2Mode Case'!$W$3</definedName>
    <definedName name="solver_opt" localSheetId="5" hidden="1">'2Mode Case (Cooling )'!$A$1</definedName>
    <definedName name="solver_pre" localSheetId="3" hidden="1">0.0000001</definedName>
    <definedName name="solver_pre" localSheetId="4" hidden="1">0.000000001</definedName>
    <definedName name="solver_pre" localSheetId="5" hidden="1">0.000000001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er" localSheetId="3" hidden="1">3</definedName>
    <definedName name="solver_ver" localSheetId="4" hidden="1">3</definedName>
    <definedName name="solver_ver" localSheetId="5" hidden="1">3</definedName>
    <definedName name="Symplectic" localSheetId="3">'1Mode case'!$C$12:$D$13</definedName>
    <definedName name="Symplectic" localSheetId="4">'2Mode Case'!$O$11:$R$14</definedName>
    <definedName name="Symplectic" localSheetId="5">'2Mode Case (Cooling )'!$O$13:$R$16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5" i="15" l="1"/>
  <c r="AI14" i="15"/>
  <c r="AI13" i="15"/>
  <c r="AH24" i="15"/>
  <c r="AH22" i="15"/>
  <c r="AH21" i="15"/>
  <c r="AH20" i="15"/>
  <c r="AH19" i="15"/>
  <c r="AH18" i="15"/>
  <c r="AH17" i="15"/>
  <c r="AH16" i="15"/>
  <c r="AH15" i="15"/>
  <c r="AH14" i="15"/>
  <c r="AH13" i="15"/>
  <c r="AH12" i="15"/>
  <c r="AH11" i="15"/>
  <c r="AH10" i="15"/>
  <c r="AH9" i="15"/>
  <c r="AH1" i="15" a="1"/>
  <c r="AH1" i="15" s="1"/>
  <c r="AF24" i="15"/>
  <c r="AG24" i="15"/>
  <c r="AI16" i="15"/>
  <c r="AI1" i="15" l="1"/>
  <c r="AF7" i="15" l="1"/>
  <c r="AG5" i="15"/>
  <c r="AB4" i="15"/>
  <c r="AF5" i="15"/>
  <c r="AC25" i="15"/>
  <c r="AC24" i="15"/>
  <c r="AC23" i="15"/>
  <c r="AC22" i="15"/>
  <c r="AC21" i="15"/>
  <c r="AC20" i="15"/>
  <c r="AC19" i="15"/>
  <c r="AC18" i="15"/>
  <c r="AC17" i="15"/>
  <c r="AC16" i="15"/>
  <c r="AC15" i="15"/>
  <c r="AC14" i="15"/>
  <c r="AC13" i="15"/>
  <c r="AC12" i="15"/>
  <c r="AC11" i="15"/>
  <c r="AC10" i="15"/>
  <c r="AC9" i="15"/>
  <c r="AC8" i="15"/>
  <c r="AC7" i="15"/>
  <c r="AC6" i="15"/>
  <c r="L5" i="15"/>
  <c r="M5" i="15"/>
  <c r="N5" i="15"/>
  <c r="L6" i="15"/>
  <c r="M6" i="15"/>
  <c r="N6" i="15"/>
  <c r="L7" i="15"/>
  <c r="M7" i="15"/>
  <c r="N7" i="15"/>
  <c r="L8" i="15"/>
  <c r="M8" i="15"/>
  <c r="N8" i="15"/>
  <c r="L9" i="15"/>
  <c r="M9" i="15"/>
  <c r="N9" i="15"/>
  <c r="L10" i="15"/>
  <c r="M10" i="15"/>
  <c r="N10" i="15"/>
  <c r="L11" i="15"/>
  <c r="M11" i="15"/>
  <c r="N11" i="15"/>
  <c r="L12" i="15"/>
  <c r="M12" i="15"/>
  <c r="N12" i="15"/>
  <c r="L13" i="15"/>
  <c r="M13" i="15"/>
  <c r="N13" i="15"/>
  <c r="L14" i="15"/>
  <c r="M14" i="15"/>
  <c r="N14" i="15"/>
  <c r="L15" i="15"/>
  <c r="M15" i="15"/>
  <c r="N15" i="15"/>
  <c r="L16" i="15"/>
  <c r="M16" i="15"/>
  <c r="N16" i="15"/>
  <c r="L17" i="15"/>
  <c r="M17" i="15"/>
  <c r="N17" i="15"/>
  <c r="L18" i="15"/>
  <c r="M18" i="15"/>
  <c r="N18" i="15"/>
  <c r="L19" i="15"/>
  <c r="M19" i="15"/>
  <c r="N19" i="15"/>
  <c r="L20" i="15"/>
  <c r="M20" i="15"/>
  <c r="N20" i="15"/>
  <c r="L21" i="15"/>
  <c r="M21" i="15"/>
  <c r="N21" i="15"/>
  <c r="L22" i="15"/>
  <c r="M22" i="15"/>
  <c r="N22" i="15"/>
  <c r="L10" i="13" l="1"/>
  <c r="L13" i="13" s="1"/>
  <c r="U29" i="13"/>
  <c r="F18" i="13"/>
  <c r="H26" i="13" l="1"/>
  <c r="E12" i="13"/>
  <c r="L16" i="13" s="1"/>
  <c r="V22" i="13"/>
  <c r="V23" i="13"/>
  <c r="V21" i="13"/>
  <c r="V20" i="13"/>
  <c r="I3" i="13"/>
  <c r="U27" i="13" l="1"/>
  <c r="H12" i="13"/>
  <c r="I27" i="13"/>
  <c r="J28" i="13" s="1"/>
  <c r="K29" i="13" s="1"/>
  <c r="O3" i="13"/>
  <c r="Q3" i="13" s="1"/>
  <c r="R3" i="13"/>
  <c r="P3" i="13"/>
  <c r="L3" i="13"/>
  <c r="K3" i="13"/>
  <c r="P1" i="13"/>
  <c r="K1" i="13"/>
  <c r="L1" i="13"/>
  <c r="O1" i="13"/>
  <c r="R1" i="13"/>
  <c r="V26" i="13" l="1"/>
  <c r="V27" i="13" s="1"/>
  <c r="U26" i="13"/>
  <c r="U28" i="13" s="1"/>
  <c r="U30" i="13" s="1"/>
  <c r="K26" i="13"/>
  <c r="W4" i="13"/>
  <c r="H8" i="13"/>
  <c r="I7" i="13"/>
  <c r="E23" i="13" l="1"/>
  <c r="C21" i="13"/>
  <c r="D22" i="13" s="1"/>
  <c r="E15" i="13"/>
  <c r="F16" i="13" s="1"/>
  <c r="C13" i="13"/>
  <c r="D14" i="13" s="1"/>
  <c r="K8" i="13"/>
  <c r="J8" i="13"/>
  <c r="J7" i="13"/>
  <c r="I6" i="13"/>
  <c r="H6" i="13"/>
  <c r="H5" i="13"/>
  <c r="I8" i="13"/>
  <c r="H7" i="13"/>
  <c r="T38" i="13" a="1"/>
  <c r="O5" i="13" l="1" a="1"/>
  <c r="O5" i="13" s="1"/>
  <c r="T53" i="13"/>
  <c r="T70" i="13" s="1"/>
  <c r="T51" i="13"/>
  <c r="T68" i="13" s="1"/>
  <c r="T49" i="13"/>
  <c r="T66" i="13" s="1"/>
  <c r="T47" i="13"/>
  <c r="T64" i="13" s="1"/>
  <c r="T45" i="13"/>
  <c r="T62" i="13" s="1"/>
  <c r="T43" i="13"/>
  <c r="T60" i="13" s="1"/>
  <c r="T41" i="13"/>
  <c r="T58" i="13" s="1"/>
  <c r="T39" i="13"/>
  <c r="T56" i="13" s="1"/>
  <c r="T50" i="13"/>
  <c r="T67" i="13" s="1"/>
  <c r="T46" i="13"/>
  <c r="T63" i="13" s="1"/>
  <c r="T42" i="13"/>
  <c r="T59" i="13" s="1"/>
  <c r="T38" i="13"/>
  <c r="T55" i="13" s="1"/>
  <c r="T52" i="13"/>
  <c r="T69" i="13" s="1"/>
  <c r="T48" i="13"/>
  <c r="T65" i="13" s="1"/>
  <c r="T44" i="13"/>
  <c r="T61" i="13" s="1"/>
  <c r="T40" i="13"/>
  <c r="T57" i="13" s="1"/>
  <c r="W32" i="13" a="1"/>
  <c r="O6" i="13" l="1"/>
  <c r="O8" i="13"/>
  <c r="R5" i="13"/>
  <c r="R7" i="13"/>
  <c r="Q6" i="13"/>
  <c r="Q8" i="13"/>
  <c r="P6" i="13"/>
  <c r="P8" i="13"/>
  <c r="O7" i="13"/>
  <c r="R8" i="13"/>
  <c r="R6" i="13"/>
  <c r="Q5" i="13"/>
  <c r="Q7" i="13"/>
  <c r="P5" i="13"/>
  <c r="P7" i="13"/>
  <c r="Y35" i="13"/>
  <c r="W35" i="13"/>
  <c r="Y34" i="13"/>
  <c r="W34" i="13"/>
  <c r="Y33" i="13"/>
  <c r="W33" i="13"/>
  <c r="Y32" i="13"/>
  <c r="W32" i="13"/>
  <c r="Z35" i="13"/>
  <c r="X35" i="13"/>
  <c r="Z34" i="13"/>
  <c r="X34" i="13"/>
  <c r="Z33" i="13"/>
  <c r="X33" i="13"/>
  <c r="Z32" i="13"/>
  <c r="X32" i="13"/>
  <c r="Z50" i="6" a="1"/>
  <c r="W50" i="6" a="1"/>
  <c r="C19" i="6"/>
  <c r="P28" i="6" a="1"/>
  <c r="P28" i="6"/>
  <c r="Q28" i="6"/>
  <c r="P29" i="6"/>
  <c r="T50" i="6" a="1"/>
  <c r="C15" i="6"/>
  <c r="D16" i="6" s="1"/>
  <c r="D20" i="6"/>
  <c r="Q29" i="6" s="1"/>
  <c r="D98" i="5" a="1"/>
  <c r="D93" i="5" a="1"/>
  <c r="N81" i="5" a="1"/>
  <c r="I81" i="5" a="1"/>
  <c r="D81" i="5" a="1"/>
  <c r="W38" i="13" a="1"/>
  <c r="H21" i="13" l="1" a="1"/>
  <c r="J24" i="13" s="1"/>
  <c r="Q24" i="13" s="1"/>
  <c r="W52" i="13"/>
  <c r="W50" i="13"/>
  <c r="W48" i="13"/>
  <c r="W46" i="13"/>
  <c r="W44" i="13"/>
  <c r="W42" i="13"/>
  <c r="W40" i="13"/>
  <c r="W38" i="13"/>
  <c r="W53" i="13"/>
  <c r="W49" i="13"/>
  <c r="W45" i="13"/>
  <c r="W41" i="13"/>
  <c r="W51" i="13"/>
  <c r="W47" i="13"/>
  <c r="W43" i="13"/>
  <c r="W39" i="13"/>
  <c r="F24" i="13"/>
  <c r="I21" i="13" l="1"/>
  <c r="P21" i="13" s="1"/>
  <c r="I23" i="13"/>
  <c r="P23" i="13" s="1"/>
  <c r="H21" i="13"/>
  <c r="O21" i="13" s="1"/>
  <c r="K22" i="13"/>
  <c r="R22" i="13" s="1"/>
  <c r="K24" i="13"/>
  <c r="R24" i="13" s="1"/>
  <c r="H22" i="13"/>
  <c r="O22" i="13" s="1"/>
  <c r="H23" i="13"/>
  <c r="O23" i="13" s="1"/>
  <c r="H24" i="13"/>
  <c r="O24" i="13" s="1"/>
  <c r="I22" i="13"/>
  <c r="P22" i="13" s="1"/>
  <c r="I24" i="13"/>
  <c r="P24" i="13" s="1"/>
  <c r="K21" i="13"/>
  <c r="R21" i="13" s="1"/>
  <c r="K23" i="13"/>
  <c r="R23" i="13" s="1"/>
  <c r="J21" i="13"/>
  <c r="Q21" i="13" s="1"/>
  <c r="J22" i="13"/>
  <c r="Q22" i="13" s="1"/>
  <c r="J23" i="13"/>
  <c r="Q23" i="13" s="1"/>
  <c r="C38" i="13" a="1"/>
  <c r="D85" i="13" l="1" a="1"/>
  <c r="C32" i="13" a="1"/>
  <c r="C35" i="13" s="1"/>
  <c r="R32" i="13" a="1"/>
  <c r="U35" i="13" s="1"/>
  <c r="O53" i="13"/>
  <c r="K53" i="13"/>
  <c r="G53" i="13"/>
  <c r="C53" i="13"/>
  <c r="O52" i="13"/>
  <c r="K52" i="13"/>
  <c r="G52" i="13"/>
  <c r="C52" i="13"/>
  <c r="P53" i="13"/>
  <c r="H53" i="13"/>
  <c r="P52" i="13"/>
  <c r="H52" i="13"/>
  <c r="P51" i="13"/>
  <c r="L51" i="13"/>
  <c r="H51" i="13"/>
  <c r="D51" i="13"/>
  <c r="P50" i="13"/>
  <c r="L50" i="13"/>
  <c r="H50" i="13"/>
  <c r="D50" i="13"/>
  <c r="P49" i="13"/>
  <c r="L49" i="13"/>
  <c r="H49" i="13"/>
  <c r="D49" i="13"/>
  <c r="P48" i="13"/>
  <c r="L48" i="13"/>
  <c r="H48" i="13"/>
  <c r="D48" i="13"/>
  <c r="P47" i="13"/>
  <c r="L47" i="13"/>
  <c r="H47" i="13"/>
  <c r="D47" i="13"/>
  <c r="P46" i="13"/>
  <c r="L46" i="13"/>
  <c r="H46" i="13"/>
  <c r="D46" i="13"/>
  <c r="P45" i="13"/>
  <c r="L45" i="13"/>
  <c r="H45" i="13"/>
  <c r="D45" i="13"/>
  <c r="P44" i="13"/>
  <c r="L44" i="13"/>
  <c r="H44" i="13"/>
  <c r="D44" i="13"/>
  <c r="P43" i="13"/>
  <c r="L43" i="13"/>
  <c r="H43" i="13"/>
  <c r="D43" i="13"/>
  <c r="P42" i="13"/>
  <c r="L42" i="13"/>
  <c r="H42" i="13"/>
  <c r="D42" i="13"/>
  <c r="P41" i="13"/>
  <c r="L41" i="13"/>
  <c r="H41" i="13"/>
  <c r="D41" i="13"/>
  <c r="P40" i="13"/>
  <c r="L40" i="13"/>
  <c r="H40" i="13"/>
  <c r="D40" i="13"/>
  <c r="P39" i="13"/>
  <c r="L39" i="13"/>
  <c r="H39" i="13"/>
  <c r="D39" i="13"/>
  <c r="P38" i="13"/>
  <c r="L38" i="13"/>
  <c r="H38" i="13"/>
  <c r="D38" i="13"/>
  <c r="N53" i="13"/>
  <c r="F53" i="13"/>
  <c r="N52" i="13"/>
  <c r="F52" i="13"/>
  <c r="O51" i="13"/>
  <c r="K51" i="13"/>
  <c r="G51" i="13"/>
  <c r="C51" i="13"/>
  <c r="O50" i="13"/>
  <c r="K50" i="13"/>
  <c r="G50" i="13"/>
  <c r="C50" i="13"/>
  <c r="O49" i="13"/>
  <c r="K49" i="13"/>
  <c r="G49" i="13"/>
  <c r="C49" i="13"/>
  <c r="M53" i="13"/>
  <c r="E53" i="13"/>
  <c r="M52" i="13"/>
  <c r="E52" i="13"/>
  <c r="L53" i="13"/>
  <c r="L52" i="13"/>
  <c r="N51" i="13"/>
  <c r="F51" i="13"/>
  <c r="N50" i="13"/>
  <c r="F50" i="13"/>
  <c r="N49" i="13"/>
  <c r="F49" i="13"/>
  <c r="N48" i="13"/>
  <c r="F48" i="13"/>
  <c r="N47" i="13"/>
  <c r="F47" i="13"/>
  <c r="N46" i="13"/>
  <c r="F46" i="13"/>
  <c r="N45" i="13"/>
  <c r="F45" i="13"/>
  <c r="N44" i="13"/>
  <c r="F44" i="13"/>
  <c r="N43" i="13"/>
  <c r="F43" i="13"/>
  <c r="N42" i="13"/>
  <c r="F42" i="13"/>
  <c r="N41" i="13"/>
  <c r="F41" i="13"/>
  <c r="N40" i="13"/>
  <c r="F40" i="13"/>
  <c r="N39" i="13"/>
  <c r="F39" i="13"/>
  <c r="N38" i="13"/>
  <c r="F38" i="13"/>
  <c r="J53" i="13"/>
  <c r="J52" i="13"/>
  <c r="M51" i="13"/>
  <c r="E51" i="13"/>
  <c r="M50" i="13"/>
  <c r="E50" i="13"/>
  <c r="M49" i="13"/>
  <c r="E49" i="13"/>
  <c r="O48" i="13"/>
  <c r="K48" i="13"/>
  <c r="G48" i="13"/>
  <c r="C48" i="13"/>
  <c r="O47" i="13"/>
  <c r="K47" i="13"/>
  <c r="G47" i="13"/>
  <c r="C47" i="13"/>
  <c r="O46" i="13"/>
  <c r="K46" i="13"/>
  <c r="G46" i="13"/>
  <c r="C46" i="13"/>
  <c r="O45" i="13"/>
  <c r="K45" i="13"/>
  <c r="G45" i="13"/>
  <c r="C45" i="13"/>
  <c r="O44" i="13"/>
  <c r="K44" i="13"/>
  <c r="G44" i="13"/>
  <c r="C44" i="13"/>
  <c r="O43" i="13"/>
  <c r="K43" i="13"/>
  <c r="G43" i="13"/>
  <c r="C43" i="13"/>
  <c r="O42" i="13"/>
  <c r="K42" i="13"/>
  <c r="G42" i="13"/>
  <c r="C42" i="13"/>
  <c r="O41" i="13"/>
  <c r="K41" i="13"/>
  <c r="G41" i="13"/>
  <c r="C41" i="13"/>
  <c r="O40" i="13"/>
  <c r="K40" i="13"/>
  <c r="G40" i="13"/>
  <c r="C40" i="13"/>
  <c r="O39" i="13"/>
  <c r="K39" i="13"/>
  <c r="G39" i="13"/>
  <c r="C39" i="13"/>
  <c r="O38" i="13"/>
  <c r="K38" i="13"/>
  <c r="G38" i="13"/>
  <c r="C38" i="13"/>
  <c r="Q53" i="13"/>
  <c r="I53" i="13"/>
  <c r="Q52" i="13"/>
  <c r="I52" i="13"/>
  <c r="Q51" i="13"/>
  <c r="D53" i="13"/>
  <c r="D52" i="13"/>
  <c r="J51" i="13"/>
  <c r="R50" i="13"/>
  <c r="J50" i="13"/>
  <c r="R49" i="13"/>
  <c r="J49" i="13"/>
  <c r="R48" i="13"/>
  <c r="J48" i="13"/>
  <c r="R47" i="13"/>
  <c r="J47" i="13"/>
  <c r="R46" i="13"/>
  <c r="J46" i="13"/>
  <c r="R45" i="13"/>
  <c r="J45" i="13"/>
  <c r="R44" i="13"/>
  <c r="J44" i="13"/>
  <c r="R43" i="13"/>
  <c r="J43" i="13"/>
  <c r="R42" i="13"/>
  <c r="J42" i="13"/>
  <c r="R41" i="13"/>
  <c r="J41" i="13"/>
  <c r="R40" i="13"/>
  <c r="J40" i="13"/>
  <c r="R39" i="13"/>
  <c r="J39" i="13"/>
  <c r="R38" i="13"/>
  <c r="J38" i="13"/>
  <c r="R53" i="13"/>
  <c r="R52" i="13"/>
  <c r="R51" i="13"/>
  <c r="I51" i="13"/>
  <c r="Q50" i="13"/>
  <c r="I50" i="13"/>
  <c r="Q49" i="13"/>
  <c r="I49" i="13"/>
  <c r="Q48" i="13"/>
  <c r="M48" i="13"/>
  <c r="I48" i="13"/>
  <c r="E48" i="13"/>
  <c r="Q47" i="13"/>
  <c r="M47" i="13"/>
  <c r="I47" i="13"/>
  <c r="E47" i="13"/>
  <c r="Q46" i="13"/>
  <c r="M46" i="13"/>
  <c r="I46" i="13"/>
  <c r="E46" i="13"/>
  <c r="Q45" i="13"/>
  <c r="M45" i="13"/>
  <c r="I45" i="13"/>
  <c r="E45" i="13"/>
  <c r="Q44" i="13"/>
  <c r="M44" i="13"/>
  <c r="I44" i="13"/>
  <c r="E44" i="13"/>
  <c r="Q43" i="13"/>
  <c r="M43" i="13"/>
  <c r="I43" i="13"/>
  <c r="E43" i="13"/>
  <c r="Q42" i="13"/>
  <c r="M42" i="13"/>
  <c r="I42" i="13"/>
  <c r="E42" i="13"/>
  <c r="Q41" i="13"/>
  <c r="M41" i="13"/>
  <c r="I41" i="13"/>
  <c r="E41" i="13"/>
  <c r="Q40" i="13"/>
  <c r="M40" i="13"/>
  <c r="I40" i="13"/>
  <c r="E40" i="13"/>
  <c r="Q39" i="13"/>
  <c r="M39" i="13"/>
  <c r="I39" i="13"/>
  <c r="E39" i="13"/>
  <c r="Q38" i="13"/>
  <c r="M38" i="13"/>
  <c r="E38" i="13"/>
  <c r="I38" i="13"/>
  <c r="E35" i="13"/>
  <c r="F88" i="13"/>
  <c r="D88" i="13"/>
  <c r="F87" i="13"/>
  <c r="D87" i="13"/>
  <c r="F86" i="13"/>
  <c r="D86" i="13"/>
  <c r="F85" i="13"/>
  <c r="D85" i="13"/>
  <c r="E88" i="13"/>
  <c r="E87" i="13"/>
  <c r="E86" i="13"/>
  <c r="E85" i="13"/>
  <c r="G88" i="13"/>
  <c r="G87" i="13"/>
  <c r="G86" i="13"/>
  <c r="G85" i="13"/>
  <c r="P27" i="3"/>
  <c r="P26" i="3"/>
  <c r="O27" i="3"/>
  <c r="O26" i="3"/>
  <c r="N26" i="3"/>
  <c r="M27" i="3"/>
  <c r="M26" i="3"/>
  <c r="L27" i="3"/>
  <c r="L26" i="3"/>
  <c r="J2" i="6" a="1"/>
  <c r="W3" i="5" a="1"/>
  <c r="F35" i="13" l="1"/>
  <c r="F33" i="13"/>
  <c r="E33" i="13"/>
  <c r="F32" i="13"/>
  <c r="F34" i="13"/>
  <c r="E32" i="13"/>
  <c r="E34" i="13"/>
  <c r="D32" i="13"/>
  <c r="D33" i="13"/>
  <c r="D34" i="13"/>
  <c r="D35" i="13"/>
  <c r="C32" i="13"/>
  <c r="C33" i="13"/>
  <c r="C34" i="13"/>
  <c r="R32" i="13"/>
  <c r="T32" i="13"/>
  <c r="R33" i="13"/>
  <c r="T33" i="13"/>
  <c r="R34" i="13"/>
  <c r="S32" i="13"/>
  <c r="U32" i="13"/>
  <c r="R35" i="13"/>
  <c r="S33" i="13"/>
  <c r="S34" i="13"/>
  <c r="S35" i="13"/>
  <c r="T34" i="13"/>
  <c r="T35" i="13"/>
  <c r="U33" i="13"/>
  <c r="U34" i="13"/>
  <c r="W55" i="13" a="1"/>
  <c r="W70" i="13" s="1"/>
  <c r="Z75" i="13" s="1"/>
  <c r="K16" i="13" s="1"/>
  <c r="S85" i="13" a="1"/>
  <c r="W62" i="13" l="1"/>
  <c r="X75" i="13" s="1"/>
  <c r="I16" i="13" s="1"/>
  <c r="W69" i="13"/>
  <c r="Z74" i="13" s="1"/>
  <c r="K15" i="13" s="1"/>
  <c r="W61" i="13"/>
  <c r="X74" i="13" s="1"/>
  <c r="I15" i="13" s="1"/>
  <c r="W68" i="13"/>
  <c r="Z73" i="13" s="1"/>
  <c r="K14" i="13" s="1"/>
  <c r="W67" i="13"/>
  <c r="Z72" i="13" s="1"/>
  <c r="K13" i="13" s="1"/>
  <c r="W64" i="13"/>
  <c r="Y73" i="13" s="1"/>
  <c r="J14" i="13" s="1"/>
  <c r="W63" i="13"/>
  <c r="Y72" i="13" s="1"/>
  <c r="J13" i="13" s="1"/>
  <c r="W66" i="13"/>
  <c r="Y75" i="13" s="1"/>
  <c r="J16" i="13" s="1"/>
  <c r="W58" i="13"/>
  <c r="W75" i="13" s="1"/>
  <c r="H16" i="13" s="1"/>
  <c r="W65" i="13"/>
  <c r="Y74" i="13" s="1"/>
  <c r="J15" i="13" s="1"/>
  <c r="W57" i="13"/>
  <c r="W74" i="13" s="1"/>
  <c r="H15" i="13" s="1"/>
  <c r="W60" i="13"/>
  <c r="X73" i="13" s="1"/>
  <c r="I14" i="13" s="1"/>
  <c r="W59" i="13"/>
  <c r="X72" i="13" s="1"/>
  <c r="I13" i="13" s="1"/>
  <c r="W56" i="13"/>
  <c r="W73" i="13" s="1"/>
  <c r="H14" i="13" s="1"/>
  <c r="W55" i="13"/>
  <c r="V88" i="13"/>
  <c r="T88" i="13"/>
  <c r="V87" i="13"/>
  <c r="T87" i="13"/>
  <c r="V86" i="13"/>
  <c r="T86" i="13"/>
  <c r="V85" i="13"/>
  <c r="T85" i="13"/>
  <c r="U88" i="13"/>
  <c r="U87" i="13"/>
  <c r="U86" i="13"/>
  <c r="U85" i="13"/>
  <c r="S88" i="13"/>
  <c r="S87" i="13"/>
  <c r="S86" i="13"/>
  <c r="S85" i="13"/>
  <c r="C17" i="5"/>
  <c r="D18" i="5" s="1"/>
  <c r="E19" i="5" s="1"/>
  <c r="F20" i="5" s="1"/>
  <c r="H5" i="5"/>
  <c r="I8" i="5"/>
  <c r="H7" i="5"/>
  <c r="F14" i="5"/>
  <c r="E13" i="5"/>
  <c r="D12" i="5"/>
  <c r="C11" i="5"/>
  <c r="O39" i="6"/>
  <c r="O44" i="6" s="1"/>
  <c r="P37" i="6"/>
  <c r="P42" i="6" s="1"/>
  <c r="M37" i="6"/>
  <c r="M42" i="6" s="1"/>
  <c r="M47" i="6" s="1"/>
  <c r="P36" i="6"/>
  <c r="P41" i="6" s="1"/>
  <c r="M36" i="6"/>
  <c r="M41" i="6" s="1"/>
  <c r="M46" i="6" s="1"/>
  <c r="P35" i="6"/>
  <c r="P40" i="6" s="1"/>
  <c r="M35" i="6"/>
  <c r="M40" i="6" s="1"/>
  <c r="M45" i="6" s="1"/>
  <c r="P34" i="6"/>
  <c r="P39" i="6" s="1"/>
  <c r="M34" i="6"/>
  <c r="M39" i="6" s="1"/>
  <c r="M44" i="6" s="1"/>
  <c r="J29" i="6"/>
  <c r="I29" i="6"/>
  <c r="J28" i="6"/>
  <c r="I28" i="6"/>
  <c r="D7" i="6"/>
  <c r="C7" i="6"/>
  <c r="D6" i="6"/>
  <c r="C6" i="6"/>
  <c r="H8" i="5"/>
  <c r="J8" i="5"/>
  <c r="J7" i="5"/>
  <c r="H6" i="5"/>
  <c r="I6" i="5"/>
  <c r="T34" i="5" a="1"/>
  <c r="W72" i="13" l="1"/>
  <c r="I85" i="13" a="1"/>
  <c r="W3" i="13" a="1"/>
  <c r="W78" i="13" a="1"/>
  <c r="J85" i="13"/>
  <c r="I87" i="13"/>
  <c r="I88" i="13"/>
  <c r="K85" i="13"/>
  <c r="L85" i="13"/>
  <c r="J87" i="13"/>
  <c r="I86" i="13"/>
  <c r="J86" i="13"/>
  <c r="K87" i="13"/>
  <c r="K88" i="13"/>
  <c r="K86" i="13"/>
  <c r="L86" i="13"/>
  <c r="L87" i="13"/>
  <c r="I7" i="5"/>
  <c r="C9" i="6" a="1"/>
  <c r="D9" i="6" s="1"/>
  <c r="T35" i="5"/>
  <c r="T52" i="5" s="1"/>
  <c r="T37" i="5"/>
  <c r="T54" i="5" s="1"/>
  <c r="T39" i="5"/>
  <c r="T56" i="5" s="1"/>
  <c r="T41" i="5"/>
  <c r="T58" i="5" s="1"/>
  <c r="T43" i="5"/>
  <c r="T60" i="5" s="1"/>
  <c r="T45" i="5"/>
  <c r="T62" i="5" s="1"/>
  <c r="T47" i="5"/>
  <c r="T64" i="5" s="1"/>
  <c r="T49" i="5"/>
  <c r="T66" i="5" s="1"/>
  <c r="T34" i="5"/>
  <c r="T51" i="5" s="1"/>
  <c r="T36" i="5"/>
  <c r="T53" i="5" s="1"/>
  <c r="T38" i="5"/>
  <c r="T55" i="5" s="1"/>
  <c r="T40" i="5"/>
  <c r="T57" i="5" s="1"/>
  <c r="T42" i="5"/>
  <c r="T59" i="5" s="1"/>
  <c r="T44" i="5"/>
  <c r="T61" i="5" s="1"/>
  <c r="T46" i="5"/>
  <c r="T63" i="5" s="1"/>
  <c r="T48" i="5"/>
  <c r="T65" i="5" s="1"/>
  <c r="W28" i="5" a="1"/>
  <c r="X28" i="5" s="1"/>
  <c r="L23" i="3"/>
  <c r="L22" i="3"/>
  <c r="N21" i="3"/>
  <c r="L21" i="3"/>
  <c r="L16" i="3"/>
  <c r="N16" i="3"/>
  <c r="L17" i="3"/>
  <c r="L18" i="3"/>
  <c r="L19" i="3"/>
  <c r="L24" i="3" s="1"/>
  <c r="L13" i="3"/>
  <c r="L14" i="3"/>
  <c r="L11" i="3"/>
  <c r="L12" i="3"/>
  <c r="O16" i="3"/>
  <c r="O17" i="3"/>
  <c r="O18" i="3"/>
  <c r="O19" i="3"/>
  <c r="O14" i="3"/>
  <c r="O13" i="3"/>
  <c r="O12" i="3"/>
  <c r="O11" i="3"/>
  <c r="G16" i="3" a="1"/>
  <c r="I16" i="3"/>
  <c r="J16" i="3"/>
  <c r="I17" i="3"/>
  <c r="J17" i="3"/>
  <c r="G18" i="3"/>
  <c r="H18" i="3"/>
  <c r="G19" i="3"/>
  <c r="H19" i="3"/>
  <c r="J14" i="3"/>
  <c r="H14" i="3"/>
  <c r="J12" i="3"/>
  <c r="H12" i="3"/>
  <c r="G11" i="3"/>
  <c r="I11" i="3"/>
  <c r="G13" i="3"/>
  <c r="I13" i="3"/>
  <c r="D13" i="3"/>
  <c r="I18" i="3" s="1"/>
  <c r="E13" i="3"/>
  <c r="J18" i="3" s="1"/>
  <c r="D14" i="3"/>
  <c r="I19" i="3" s="1"/>
  <c r="E14" i="3"/>
  <c r="J19" i="3" s="1"/>
  <c r="B11" i="3"/>
  <c r="G16" i="3" s="1"/>
  <c r="C11" i="3"/>
  <c r="H16" i="3" s="1"/>
  <c r="B12" i="3"/>
  <c r="G17" i="3" s="1"/>
  <c r="C12" i="3"/>
  <c r="H17" i="3" s="1"/>
  <c r="I5" i="3"/>
  <c r="H5" i="3"/>
  <c r="K4" i="3" a="1"/>
  <c r="K5" i="3" s="1"/>
  <c r="I4" i="3"/>
  <c r="H4" i="3"/>
  <c r="H13" i="13" l="1"/>
  <c r="V24" i="13" s="1"/>
  <c r="W3" i="13"/>
  <c r="I85" i="13"/>
  <c r="W78" i="13"/>
  <c r="A1" i="13" s="1"/>
  <c r="L88" i="13"/>
  <c r="J88" i="13"/>
  <c r="K8" i="5"/>
  <c r="O5" i="5" s="1" a="1"/>
  <c r="R8" i="5" s="1"/>
  <c r="C10" i="6"/>
  <c r="D10" i="6"/>
  <c r="C9" i="6"/>
  <c r="F15" i="6" s="1" a="1"/>
  <c r="F16" i="6" s="1"/>
  <c r="I16" i="6" s="1"/>
  <c r="Y31" i="5"/>
  <c r="Z31" i="5"/>
  <c r="Y29" i="5"/>
  <c r="Z29" i="5"/>
  <c r="Y30" i="5"/>
  <c r="Y28" i="5"/>
  <c r="Z30" i="5"/>
  <c r="Z28" i="5"/>
  <c r="W31" i="5"/>
  <c r="W30" i="5"/>
  <c r="W29" i="5"/>
  <c r="W28" i="5"/>
  <c r="X31" i="5"/>
  <c r="X30" i="5"/>
  <c r="X29" i="5"/>
  <c r="O21" i="3" a="1"/>
  <c r="O21" i="3" s="1"/>
  <c r="O23" i="3"/>
  <c r="L4" i="3"/>
  <c r="L5" i="3"/>
  <c r="K4" i="3"/>
  <c r="E31" i="2" a="1"/>
  <c r="E31" i="2"/>
  <c r="O13" i="2"/>
  <c r="O12" i="2"/>
  <c r="O11" i="2"/>
  <c r="O10" i="2"/>
  <c r="K27" i="2"/>
  <c r="K26" i="2"/>
  <c r="K26" i="2" a="1"/>
  <c r="L27" i="2" s="1"/>
  <c r="L21" i="2"/>
  <c r="N21" i="2"/>
  <c r="L22" i="2"/>
  <c r="L23" i="2"/>
  <c r="L24" i="2"/>
  <c r="L15" i="2"/>
  <c r="N15" i="2"/>
  <c r="O15" i="2"/>
  <c r="L16" i="2"/>
  <c r="O16" i="2"/>
  <c r="L17" i="2"/>
  <c r="O17" i="2"/>
  <c r="L18" i="2"/>
  <c r="O18" i="2"/>
  <c r="O21" i="2" s="1" a="1"/>
  <c r="O21" i="2" s="1"/>
  <c r="E26" i="2" s="1"/>
  <c r="H15" i="2"/>
  <c r="I15" i="2"/>
  <c r="J15" i="2"/>
  <c r="H16" i="2"/>
  <c r="I16" i="2"/>
  <c r="J16" i="2"/>
  <c r="H17" i="2"/>
  <c r="I17" i="2"/>
  <c r="J17" i="2"/>
  <c r="H18" i="2"/>
  <c r="I18" i="2"/>
  <c r="J18" i="2"/>
  <c r="G16" i="2"/>
  <c r="G17" i="2"/>
  <c r="G18" i="2"/>
  <c r="G15" i="2"/>
  <c r="L13" i="2"/>
  <c r="L12" i="2"/>
  <c r="L11" i="2"/>
  <c r="L10" i="2"/>
  <c r="O7" i="2" a="1"/>
  <c r="O7" i="2" s="1"/>
  <c r="I12" i="2" a="1"/>
  <c r="I12" i="2"/>
  <c r="J12" i="2"/>
  <c r="I13" i="2"/>
  <c r="J13" i="2"/>
  <c r="G12" i="2" a="1"/>
  <c r="G12" i="2" s="1"/>
  <c r="I10" i="2" a="1"/>
  <c r="I10" i="2" s="1"/>
  <c r="G10" i="2" a="1"/>
  <c r="G10" i="2"/>
  <c r="H10" i="2"/>
  <c r="G11" i="2"/>
  <c r="H11" i="2"/>
  <c r="B7" i="2" a="1"/>
  <c r="B7" i="2" s="1"/>
  <c r="K4" i="2" a="1"/>
  <c r="K4" i="2"/>
  <c r="L4" i="2"/>
  <c r="K5" i="2"/>
  <c r="L5" i="2"/>
  <c r="H4" i="2"/>
  <c r="I4" i="2"/>
  <c r="H5" i="2"/>
  <c r="I5" i="2"/>
  <c r="W34" i="5" a="1"/>
  <c r="J27" i="13" l="1"/>
  <c r="N85" i="13" a="1"/>
  <c r="D91" i="13" a="1"/>
  <c r="Q8" i="5"/>
  <c r="P8" i="5"/>
  <c r="O5" i="5"/>
  <c r="R5" i="5"/>
  <c r="Q5" i="5"/>
  <c r="P5" i="5"/>
  <c r="P6" i="5"/>
  <c r="R6" i="5"/>
  <c r="Q6" i="5"/>
  <c r="O8" i="5"/>
  <c r="R7" i="5"/>
  <c r="Q7" i="5"/>
  <c r="P7" i="5"/>
  <c r="O7" i="5"/>
  <c r="O6" i="5"/>
  <c r="G15" i="6"/>
  <c r="J15" i="6" s="1"/>
  <c r="D28" i="6" s="1"/>
  <c r="F15" i="6"/>
  <c r="I15" i="6" s="1"/>
  <c r="C28" i="6" s="1"/>
  <c r="G16" i="6"/>
  <c r="J16" i="6" s="1"/>
  <c r="U51" i="6" s="1"/>
  <c r="U50" i="6"/>
  <c r="C29" i="6"/>
  <c r="T51" i="6"/>
  <c r="O22" i="3"/>
  <c r="W37" i="5"/>
  <c r="W41" i="5"/>
  <c r="W45" i="5"/>
  <c r="W49" i="5"/>
  <c r="W36" i="5"/>
  <c r="W40" i="5"/>
  <c r="W44" i="5"/>
  <c r="W48" i="5"/>
  <c r="W35" i="5"/>
  <c r="W43" i="5"/>
  <c r="W34" i="5"/>
  <c r="W42" i="5"/>
  <c r="W47" i="5"/>
  <c r="W46" i="5"/>
  <c r="W39" i="5"/>
  <c r="W38" i="5"/>
  <c r="O24" i="3"/>
  <c r="H26" i="2"/>
  <c r="O24" i="2"/>
  <c r="F27" i="2" s="1"/>
  <c r="I27" i="2" s="1"/>
  <c r="O22" i="2"/>
  <c r="E27" i="2" s="1"/>
  <c r="H27" i="2" s="1"/>
  <c r="O23" i="2"/>
  <c r="F26" i="2" s="1"/>
  <c r="I26" i="2" s="1"/>
  <c r="L26" i="2"/>
  <c r="P8" i="2"/>
  <c r="P7" i="2"/>
  <c r="O8" i="2"/>
  <c r="H13" i="2"/>
  <c r="H12" i="2"/>
  <c r="G13" i="2"/>
  <c r="J11" i="2"/>
  <c r="J10" i="2"/>
  <c r="I11" i="2"/>
  <c r="C8" i="2"/>
  <c r="C7" i="2"/>
  <c r="B8" i="2"/>
  <c r="B11" i="1" a="1"/>
  <c r="B11" i="1" s="1"/>
  <c r="G17" i="1" s="1"/>
  <c r="C11" i="1"/>
  <c r="C12" i="1"/>
  <c r="D9" i="1" a="1"/>
  <c r="D9" i="1"/>
  <c r="E9" i="1"/>
  <c r="D10" i="1"/>
  <c r="E10" i="1"/>
  <c r="L21" i="1"/>
  <c r="L22" i="1"/>
  <c r="L23" i="1"/>
  <c r="L24" i="1"/>
  <c r="G15" i="1" a="1"/>
  <c r="G15" i="1"/>
  <c r="H15" i="1"/>
  <c r="I15" i="1"/>
  <c r="J15" i="1"/>
  <c r="G16" i="1"/>
  <c r="H16" i="1"/>
  <c r="I16" i="1"/>
  <c r="J16" i="1"/>
  <c r="H17" i="1"/>
  <c r="I17" i="1"/>
  <c r="J17" i="1"/>
  <c r="H18" i="1"/>
  <c r="I18" i="1"/>
  <c r="J18" i="1"/>
  <c r="Q11" i="1"/>
  <c r="Q12" i="1"/>
  <c r="Q9" i="1"/>
  <c r="Q10" i="1"/>
  <c r="L11" i="1"/>
  <c r="L12" i="1"/>
  <c r="L9" i="1"/>
  <c r="L10" i="1"/>
  <c r="I11" i="1"/>
  <c r="J11" i="1"/>
  <c r="I12" i="1"/>
  <c r="J12" i="1"/>
  <c r="G9" i="1"/>
  <c r="H9" i="1"/>
  <c r="G10" i="1"/>
  <c r="H10" i="1"/>
  <c r="D11" i="1" a="1"/>
  <c r="D11" i="1"/>
  <c r="E11" i="1"/>
  <c r="D12" i="1"/>
  <c r="E12" i="1"/>
  <c r="B9" i="1" a="1"/>
  <c r="B9" i="1" s="1"/>
  <c r="C9" i="1"/>
  <c r="B10" i="1"/>
  <c r="C10" i="1"/>
  <c r="N4" i="1"/>
  <c r="O4" i="1"/>
  <c r="N5" i="1"/>
  <c r="O5" i="1"/>
  <c r="D29" i="6" l="1"/>
  <c r="I28" i="13"/>
  <c r="H29" i="13" s="1"/>
  <c r="D94" i="13"/>
  <c r="D93" i="13"/>
  <c r="D92" i="13"/>
  <c r="D91" i="13"/>
  <c r="E93" i="13"/>
  <c r="E91" i="13"/>
  <c r="G93" i="13"/>
  <c r="G91" i="13"/>
  <c r="F94" i="13"/>
  <c r="F93" i="13"/>
  <c r="F92" i="13"/>
  <c r="F91" i="13"/>
  <c r="E94" i="13"/>
  <c r="E92" i="13"/>
  <c r="G94" i="13"/>
  <c r="G92" i="13"/>
  <c r="N88" i="13"/>
  <c r="N87" i="13"/>
  <c r="N86" i="13"/>
  <c r="N85" i="13"/>
  <c r="Q87" i="13"/>
  <c r="Q85" i="13"/>
  <c r="O87" i="13"/>
  <c r="O85" i="13"/>
  <c r="P88" i="13"/>
  <c r="P87" i="13"/>
  <c r="P86" i="13"/>
  <c r="P85" i="13"/>
  <c r="Q88" i="13"/>
  <c r="Q86" i="13"/>
  <c r="O88" i="13"/>
  <c r="O86" i="13"/>
  <c r="T50" i="6"/>
  <c r="AC50" i="6" s="1" a="1"/>
  <c r="AC50" i="6" s="1"/>
  <c r="H17" i="5" a="1"/>
  <c r="I19" i="5" s="1"/>
  <c r="L28" i="6" a="1"/>
  <c r="M29" i="6" s="1"/>
  <c r="H39" i="6" a="1"/>
  <c r="L28" i="6"/>
  <c r="O29" i="2" a="1"/>
  <c r="N21" i="1" a="1"/>
  <c r="N21" i="1" s="1"/>
  <c r="E27" i="1" s="1"/>
  <c r="B12" i="1"/>
  <c r="G18" i="1" s="1"/>
  <c r="H34" i="6" a="1"/>
  <c r="C34" i="6" a="1"/>
  <c r="E37" i="6" l="1"/>
  <c r="F37" i="6"/>
  <c r="C37" i="6"/>
  <c r="D37" i="6"/>
  <c r="E36" i="6"/>
  <c r="F36" i="6"/>
  <c r="C36" i="6"/>
  <c r="D36" i="6"/>
  <c r="F35" i="6"/>
  <c r="C35" i="6"/>
  <c r="D35" i="6"/>
  <c r="E34" i="6"/>
  <c r="J39" i="6" s="1"/>
  <c r="F34" i="6"/>
  <c r="C34" i="6"/>
  <c r="D34" i="6"/>
  <c r="E35" i="6"/>
  <c r="J40" i="6" s="1"/>
  <c r="J37" i="6"/>
  <c r="K37" i="6"/>
  <c r="H37" i="6"/>
  <c r="I37" i="6"/>
  <c r="J36" i="6"/>
  <c r="K36" i="6"/>
  <c r="H36" i="6"/>
  <c r="I36" i="6"/>
  <c r="J35" i="6"/>
  <c r="K35" i="6"/>
  <c r="K40" i="6" s="1"/>
  <c r="H35" i="6"/>
  <c r="I35" i="6"/>
  <c r="J34" i="6"/>
  <c r="K34" i="6"/>
  <c r="K39" i="6" s="1"/>
  <c r="H34" i="6"/>
  <c r="I34" i="6"/>
  <c r="M28" i="6"/>
  <c r="O26" i="13" a="1"/>
  <c r="P26" i="13" s="1"/>
  <c r="N91" i="13" a="1"/>
  <c r="AD50" i="6"/>
  <c r="AD51" i="6"/>
  <c r="L29" i="6"/>
  <c r="H20" i="5"/>
  <c r="K20" i="5"/>
  <c r="H18" i="5"/>
  <c r="H19" i="5"/>
  <c r="J20" i="5"/>
  <c r="I17" i="5"/>
  <c r="J18" i="5"/>
  <c r="J19" i="5"/>
  <c r="K19" i="5"/>
  <c r="I20" i="5"/>
  <c r="J17" i="5"/>
  <c r="H17" i="5"/>
  <c r="K17" i="5"/>
  <c r="I18" i="5"/>
  <c r="K18" i="5"/>
  <c r="AC51" i="6"/>
  <c r="J42" i="6"/>
  <c r="H42" i="6"/>
  <c r="J41" i="6"/>
  <c r="H41" i="6"/>
  <c r="H40" i="6"/>
  <c r="H39" i="6"/>
  <c r="I42" i="6"/>
  <c r="I41" i="6"/>
  <c r="I40" i="6"/>
  <c r="I39" i="6"/>
  <c r="O29" i="2"/>
  <c r="O30" i="2"/>
  <c r="P29" i="2"/>
  <c r="P30" i="2"/>
  <c r="N27" i="1"/>
  <c r="N22" i="1"/>
  <c r="E28" i="1" s="1"/>
  <c r="N28" i="1" s="1"/>
  <c r="N23" i="1"/>
  <c r="F27" i="1" s="1"/>
  <c r="O27" i="1" s="1"/>
  <c r="N24" i="1"/>
  <c r="F28" i="1" s="1"/>
  <c r="O28" i="1" s="1"/>
  <c r="K41" i="6" l="1"/>
  <c r="K42" i="6"/>
  <c r="Q29" i="13"/>
  <c r="Q27" i="13"/>
  <c r="R29" i="13"/>
  <c r="R27" i="13"/>
  <c r="Q28" i="13"/>
  <c r="Q26" i="13"/>
  <c r="R28" i="13"/>
  <c r="R26" i="13"/>
  <c r="O29" i="13"/>
  <c r="O28" i="13"/>
  <c r="O27" i="13"/>
  <c r="O26" i="13"/>
  <c r="P29" i="13"/>
  <c r="P28" i="13"/>
  <c r="P27" i="13"/>
  <c r="O94" i="13"/>
  <c r="O93" i="13"/>
  <c r="O92" i="13"/>
  <c r="O91" i="13"/>
  <c r="N93" i="13"/>
  <c r="N91" i="13"/>
  <c r="P93" i="13"/>
  <c r="P91" i="13"/>
  <c r="Q94" i="13"/>
  <c r="Q93" i="13"/>
  <c r="Q92" i="13"/>
  <c r="Q91" i="13"/>
  <c r="N94" i="13"/>
  <c r="N92" i="13"/>
  <c r="P94" i="13"/>
  <c r="P92" i="13"/>
  <c r="P20" i="5"/>
  <c r="E84" i="5" s="1"/>
  <c r="R20" i="5"/>
  <c r="Q18" i="5"/>
  <c r="F82" i="5" s="1"/>
  <c r="Q17" i="5"/>
  <c r="F81" i="5" s="1"/>
  <c r="O18" i="5"/>
  <c r="D82" i="5" s="1"/>
  <c r="O17" i="5"/>
  <c r="P17" i="5"/>
  <c r="E81" i="5" s="1"/>
  <c r="R18" i="5"/>
  <c r="G82" i="5" s="1"/>
  <c r="P19" i="5"/>
  <c r="E83" i="5" s="1"/>
  <c r="Q19" i="5"/>
  <c r="F83" i="5" s="1"/>
  <c r="R19" i="5"/>
  <c r="G83" i="5" s="1"/>
  <c r="O20" i="5"/>
  <c r="D84" i="5" s="1"/>
  <c r="Q20" i="5"/>
  <c r="F84" i="5" s="1"/>
  <c r="O19" i="5"/>
  <c r="D83" i="5" s="1"/>
  <c r="R17" i="5"/>
  <c r="G81" i="5" s="1"/>
  <c r="P18" i="5"/>
  <c r="E82" i="5" s="1"/>
  <c r="P44" i="6" a="1"/>
  <c r="E34" i="1"/>
  <c r="H31" i="1" a="1"/>
  <c r="H32" i="1" s="1"/>
  <c r="E33" i="1"/>
  <c r="C34" i="5" a="1"/>
  <c r="D97" i="13" l="1" a="1"/>
  <c r="C28" i="5" a="1"/>
  <c r="E29" i="5" s="1"/>
  <c r="E31" i="5"/>
  <c r="D31" i="5"/>
  <c r="C30" i="5"/>
  <c r="F34" i="5"/>
  <c r="N34" i="5"/>
  <c r="F35" i="5"/>
  <c r="N35" i="5"/>
  <c r="F36" i="5"/>
  <c r="G34" i="5"/>
  <c r="O34" i="5"/>
  <c r="G35" i="5"/>
  <c r="O35" i="5"/>
  <c r="G36" i="5"/>
  <c r="O36" i="5"/>
  <c r="G37" i="5"/>
  <c r="O37" i="5"/>
  <c r="G38" i="5"/>
  <c r="O38" i="5"/>
  <c r="G39" i="5"/>
  <c r="O39" i="5"/>
  <c r="G40" i="5"/>
  <c r="O40" i="5"/>
  <c r="G41" i="5"/>
  <c r="O41" i="5"/>
  <c r="G42" i="5"/>
  <c r="O42" i="5"/>
  <c r="G43" i="5"/>
  <c r="O43" i="5"/>
  <c r="G44" i="5"/>
  <c r="N36" i="5"/>
  <c r="N37" i="5"/>
  <c r="N38" i="5"/>
  <c r="N39" i="5"/>
  <c r="N40" i="5"/>
  <c r="N41" i="5"/>
  <c r="N42" i="5"/>
  <c r="N43" i="5"/>
  <c r="M44" i="5"/>
  <c r="E45" i="5"/>
  <c r="M45" i="5"/>
  <c r="E46" i="5"/>
  <c r="M46" i="5"/>
  <c r="L34" i="5"/>
  <c r="L35" i="5"/>
  <c r="E34" i="5"/>
  <c r="E35" i="5"/>
  <c r="E36" i="5"/>
  <c r="E37" i="5"/>
  <c r="E38" i="5"/>
  <c r="E39" i="5"/>
  <c r="E40" i="5"/>
  <c r="E41" i="5"/>
  <c r="E42" i="5"/>
  <c r="E43" i="5"/>
  <c r="E44" i="5"/>
  <c r="J37" i="5"/>
  <c r="J39" i="5"/>
  <c r="J41" i="5"/>
  <c r="J43" i="5"/>
  <c r="C45" i="5"/>
  <c r="C46" i="5"/>
  <c r="Q46" i="5"/>
  <c r="I47" i="5"/>
  <c r="Q47" i="5"/>
  <c r="I48" i="5"/>
  <c r="Q48" i="5"/>
  <c r="I49" i="5"/>
  <c r="Q49" i="5"/>
  <c r="H37" i="5"/>
  <c r="H38" i="5"/>
  <c r="H39" i="5"/>
  <c r="H40" i="5"/>
  <c r="H41" i="5"/>
  <c r="H42" i="5"/>
  <c r="H43" i="5"/>
  <c r="H44" i="5"/>
  <c r="R44" i="5"/>
  <c r="J45" i="5"/>
  <c r="R45" i="5"/>
  <c r="J46" i="5"/>
  <c r="R46" i="5"/>
  <c r="J47" i="5"/>
  <c r="P34" i="5"/>
  <c r="I34" i="5"/>
  <c r="I36" i="5"/>
  <c r="I38" i="5"/>
  <c r="I40" i="5"/>
  <c r="I42" i="5"/>
  <c r="J34" i="5"/>
  <c r="J35" i="5"/>
  <c r="C34" i="5"/>
  <c r="C35" i="5"/>
  <c r="C36" i="5"/>
  <c r="C37" i="5"/>
  <c r="C38" i="5"/>
  <c r="C39" i="5"/>
  <c r="C40" i="5"/>
  <c r="C41" i="5"/>
  <c r="C42" i="5"/>
  <c r="C43" i="5"/>
  <c r="C44" i="5"/>
  <c r="F37" i="5"/>
  <c r="F39" i="5"/>
  <c r="F41" i="5"/>
  <c r="F43" i="5"/>
  <c r="Q44" i="5"/>
  <c r="Q45" i="5"/>
  <c r="D34" i="5"/>
  <c r="D36" i="5"/>
  <c r="M35" i="5"/>
  <c r="M37" i="5"/>
  <c r="M39" i="5"/>
  <c r="M41" i="5"/>
  <c r="M43" i="5"/>
  <c r="J38" i="5"/>
  <c r="R34" i="5"/>
  <c r="R35" i="5"/>
  <c r="K34" i="5"/>
  <c r="K35" i="5"/>
  <c r="K36" i="5"/>
  <c r="K37" i="5"/>
  <c r="K38" i="5"/>
  <c r="K39" i="5"/>
  <c r="K40" i="5"/>
  <c r="K41" i="5"/>
  <c r="K42" i="5"/>
  <c r="K43" i="5"/>
  <c r="K44" i="5"/>
  <c r="F38" i="5"/>
  <c r="F40" i="5"/>
  <c r="F42" i="5"/>
  <c r="F44" i="5"/>
  <c r="I45" i="5"/>
  <c r="I46" i="5"/>
  <c r="D35" i="5"/>
  <c r="M34" i="5"/>
  <c r="M36" i="5"/>
  <c r="M38" i="5"/>
  <c r="M40" i="5"/>
  <c r="M42" i="5"/>
  <c r="J36" i="5"/>
  <c r="J40" i="5"/>
  <c r="J44" i="5"/>
  <c r="K46" i="5"/>
  <c r="M47" i="5"/>
  <c r="M48" i="5"/>
  <c r="M49" i="5"/>
  <c r="P37" i="5"/>
  <c r="P39" i="5"/>
  <c r="P41" i="5"/>
  <c r="P43" i="5"/>
  <c r="F45" i="5"/>
  <c r="F46" i="5"/>
  <c r="F47" i="5"/>
  <c r="P35" i="5"/>
  <c r="I37" i="5"/>
  <c r="I41" i="5"/>
  <c r="I44" i="5"/>
  <c r="R39" i="5"/>
  <c r="R43" i="5"/>
  <c r="G46" i="5"/>
  <c r="K47" i="5"/>
  <c r="K48" i="5"/>
  <c r="K49" i="5"/>
  <c r="L37" i="5"/>
  <c r="L39" i="5"/>
  <c r="L41" i="5"/>
  <c r="L43" i="5"/>
  <c r="D45" i="5"/>
  <c r="D46" i="5"/>
  <c r="D47" i="5"/>
  <c r="R47" i="5"/>
  <c r="J48" i="5"/>
  <c r="R48" i="5"/>
  <c r="J49" i="5"/>
  <c r="R49" i="5"/>
  <c r="H35" i="5"/>
  <c r="Q34" i="5"/>
  <c r="Q36" i="5"/>
  <c r="Q38" i="5"/>
  <c r="Q40" i="5"/>
  <c r="Q42" i="5"/>
  <c r="R36" i="5"/>
  <c r="R40" i="5"/>
  <c r="O44" i="5"/>
  <c r="O46" i="5"/>
  <c r="O47" i="5"/>
  <c r="O48" i="5"/>
  <c r="O49" i="5"/>
  <c r="D38" i="5"/>
  <c r="D40" i="5"/>
  <c r="D42" i="5"/>
  <c r="D44" i="5"/>
  <c r="H45" i="5"/>
  <c r="H46" i="5"/>
  <c r="H47" i="5"/>
  <c r="D48" i="5"/>
  <c r="L48" i="5"/>
  <c r="D49" i="5"/>
  <c r="L49" i="5"/>
  <c r="J42" i="5"/>
  <c r="K45" i="5"/>
  <c r="E47" i="5"/>
  <c r="E48" i="5"/>
  <c r="E49" i="5"/>
  <c r="P36" i="5"/>
  <c r="P38" i="5"/>
  <c r="P40" i="5"/>
  <c r="P42" i="5"/>
  <c r="N44" i="5"/>
  <c r="N45" i="5"/>
  <c r="N46" i="5"/>
  <c r="N47" i="5"/>
  <c r="I35" i="5"/>
  <c r="I39" i="5"/>
  <c r="I43" i="5"/>
  <c r="R37" i="5"/>
  <c r="R41" i="5"/>
  <c r="G45" i="5"/>
  <c r="C47" i="5"/>
  <c r="C48" i="5"/>
  <c r="C49" i="5"/>
  <c r="L36" i="5"/>
  <c r="L38" i="5"/>
  <c r="L40" i="5"/>
  <c r="L42" i="5"/>
  <c r="L44" i="5"/>
  <c r="L45" i="5"/>
  <c r="L46" i="5"/>
  <c r="L47" i="5"/>
  <c r="F48" i="5"/>
  <c r="N48" i="5"/>
  <c r="F49" i="5"/>
  <c r="N49" i="5"/>
  <c r="H34" i="5"/>
  <c r="H36" i="5"/>
  <c r="Q35" i="5"/>
  <c r="Q37" i="5"/>
  <c r="Q39" i="5"/>
  <c r="Q41" i="5"/>
  <c r="Q43" i="5"/>
  <c r="R38" i="5"/>
  <c r="R42" i="5"/>
  <c r="O45" i="5"/>
  <c r="G47" i="5"/>
  <c r="G48" i="5"/>
  <c r="G49" i="5"/>
  <c r="D37" i="5"/>
  <c r="D39" i="5"/>
  <c r="D41" i="5"/>
  <c r="D43" i="5"/>
  <c r="P44" i="5"/>
  <c r="P45" i="5"/>
  <c r="P46" i="5"/>
  <c r="P47" i="5"/>
  <c r="H48" i="5"/>
  <c r="P48" i="5"/>
  <c r="H49" i="5"/>
  <c r="P49" i="5"/>
  <c r="D81" i="5"/>
  <c r="R28" i="5" a="1"/>
  <c r="G84" i="5"/>
  <c r="C28" i="5"/>
  <c r="P46" i="6"/>
  <c r="Q50" i="6" s="1"/>
  <c r="X50" i="6" s="1"/>
  <c r="AA50" i="6" s="1"/>
  <c r="P44" i="6"/>
  <c r="P50" i="6" s="1"/>
  <c r="W50" i="6" s="1"/>
  <c r="Z50" i="6" s="1"/>
  <c r="P47" i="6"/>
  <c r="Q51" i="6" s="1"/>
  <c r="X51" i="6" s="1"/>
  <c r="P45" i="6"/>
  <c r="P51" i="6" s="1"/>
  <c r="W51" i="6" s="1"/>
  <c r="Z51" i="6" s="1"/>
  <c r="I31" i="1"/>
  <c r="H31" i="1"/>
  <c r="I32" i="1"/>
  <c r="E28" i="5" l="1"/>
  <c r="C31" i="5"/>
  <c r="D29" i="5"/>
  <c r="D30" i="5"/>
  <c r="D100" i="13"/>
  <c r="D99" i="13"/>
  <c r="D98" i="13"/>
  <c r="D97" i="13"/>
  <c r="G99" i="13"/>
  <c r="G97" i="13"/>
  <c r="E99" i="13"/>
  <c r="E97" i="13"/>
  <c r="F100" i="13"/>
  <c r="F99" i="13"/>
  <c r="F98" i="13"/>
  <c r="F97" i="13"/>
  <c r="G100" i="13"/>
  <c r="G98" i="13"/>
  <c r="E100" i="13"/>
  <c r="E98" i="13"/>
  <c r="F29" i="5"/>
  <c r="E30" i="5"/>
  <c r="C29" i="5"/>
  <c r="D28" i="5"/>
  <c r="F28" i="5"/>
  <c r="F30" i="5"/>
  <c r="F31" i="5"/>
  <c r="W51" i="5" a="1"/>
  <c r="U31" i="5"/>
  <c r="R30" i="5"/>
  <c r="T28" i="5"/>
  <c r="R29" i="5"/>
  <c r="S30" i="5"/>
  <c r="R31" i="5"/>
  <c r="U28" i="5"/>
  <c r="T31" i="5"/>
  <c r="U30" i="5"/>
  <c r="S29" i="5"/>
  <c r="R28" i="5"/>
  <c r="S28" i="5"/>
  <c r="T29" i="5"/>
  <c r="T30" i="5"/>
  <c r="S31" i="5"/>
  <c r="U29" i="5"/>
  <c r="S81" i="5" a="1"/>
  <c r="AA51" i="6"/>
  <c r="Z54" i="6" s="1" a="1"/>
  <c r="T54" i="6" a="1"/>
  <c r="J2" i="6"/>
  <c r="W74" i="5" a="1"/>
  <c r="D102" i="13" l="1" a="1"/>
  <c r="U81" i="5"/>
  <c r="U82" i="5"/>
  <c r="U83" i="5"/>
  <c r="U84" i="5"/>
  <c r="V81" i="5"/>
  <c r="V82" i="5"/>
  <c r="V83" i="5"/>
  <c r="V84" i="5"/>
  <c r="S81" i="5"/>
  <c r="S82" i="5"/>
  <c r="S83" i="5"/>
  <c r="S84" i="5"/>
  <c r="T81" i="5"/>
  <c r="T82" i="5"/>
  <c r="T83" i="5"/>
  <c r="T84" i="5"/>
  <c r="W51" i="5"/>
  <c r="W68" i="5" s="1"/>
  <c r="W62" i="5"/>
  <c r="Y71" i="5" s="1"/>
  <c r="K84" i="5" s="1"/>
  <c r="P84" i="5" s="1"/>
  <c r="W54" i="5"/>
  <c r="W71" i="5" s="1"/>
  <c r="I84" i="5" s="1"/>
  <c r="N84" i="5" s="1"/>
  <c r="W61" i="5"/>
  <c r="Y70" i="5" s="1"/>
  <c r="K83" i="5" s="1"/>
  <c r="P83" i="5" s="1"/>
  <c r="W53" i="5"/>
  <c r="W70" i="5" s="1"/>
  <c r="I83" i="5" s="1"/>
  <c r="N83" i="5" s="1"/>
  <c r="W60" i="5"/>
  <c r="Y69" i="5" s="1"/>
  <c r="K82" i="5" s="1"/>
  <c r="P82" i="5" s="1"/>
  <c r="W52" i="5"/>
  <c r="W69" i="5" s="1"/>
  <c r="I82" i="5" s="1"/>
  <c r="N82" i="5" s="1"/>
  <c r="W59" i="5"/>
  <c r="Y68" i="5" s="1"/>
  <c r="K81" i="5" s="1"/>
  <c r="W66" i="5"/>
  <c r="Z71" i="5" s="1"/>
  <c r="L84" i="5" s="1"/>
  <c r="Q84" i="5" s="1"/>
  <c r="W58" i="5"/>
  <c r="X71" i="5" s="1"/>
  <c r="J84" i="5" s="1"/>
  <c r="O84" i="5" s="1"/>
  <c r="W65" i="5"/>
  <c r="Z70" i="5" s="1"/>
  <c r="L83" i="5" s="1"/>
  <c r="Q83" i="5" s="1"/>
  <c r="W57" i="5"/>
  <c r="X70" i="5" s="1"/>
  <c r="J83" i="5" s="1"/>
  <c r="O83" i="5" s="1"/>
  <c r="W64" i="5"/>
  <c r="Z69" i="5" s="1"/>
  <c r="L82" i="5" s="1"/>
  <c r="Q82" i="5" s="1"/>
  <c r="W56" i="5"/>
  <c r="X69" i="5" s="1"/>
  <c r="J82" i="5" s="1"/>
  <c r="O82" i="5" s="1"/>
  <c r="W63" i="5"/>
  <c r="Z68" i="5" s="1"/>
  <c r="L81" i="5" s="1"/>
  <c r="Q81" i="5" s="1"/>
  <c r="W55" i="5"/>
  <c r="X68" i="5" s="1"/>
  <c r="J81" i="5" s="1"/>
  <c r="O81" i="5" s="1"/>
  <c r="AA54" i="6"/>
  <c r="AA55" i="6"/>
  <c r="Z54" i="6"/>
  <c r="Z55" i="6"/>
  <c r="T54" i="6"/>
  <c r="U55" i="6"/>
  <c r="T55" i="6"/>
  <c r="U54" i="6"/>
  <c r="E105" i="13" l="1"/>
  <c r="E104" i="13"/>
  <c r="E103" i="13"/>
  <c r="E102" i="13"/>
  <c r="F104" i="13"/>
  <c r="F102" i="13"/>
  <c r="D104" i="13"/>
  <c r="D102" i="13"/>
  <c r="G105" i="13"/>
  <c r="G104" i="13"/>
  <c r="G103" i="13"/>
  <c r="G102" i="13"/>
  <c r="F105" i="13"/>
  <c r="F103" i="13"/>
  <c r="D105" i="13"/>
  <c r="D103" i="13"/>
  <c r="P81" i="5"/>
  <c r="I81" i="5"/>
  <c r="W3" i="5"/>
  <c r="W74" i="5"/>
  <c r="A1" i="5" s="1"/>
  <c r="T58" i="6" a="1"/>
  <c r="T58" i="6" s="1"/>
  <c r="U58" i="6"/>
  <c r="D87" i="5" l="1" a="1"/>
  <c r="N81" i="5"/>
  <c r="N87" i="5" s="1" a="1"/>
  <c r="T59" i="6"/>
  <c r="U59" i="6"/>
  <c r="P90" i="5" l="1"/>
  <c r="P89" i="5"/>
  <c r="N89" i="5"/>
  <c r="O89" i="5"/>
  <c r="Q88" i="5"/>
  <c r="Q87" i="5"/>
  <c r="N88" i="5"/>
  <c r="O88" i="5"/>
  <c r="O87" i="5"/>
  <c r="Q90" i="5"/>
  <c r="Q89" i="5"/>
  <c r="N87" i="5"/>
  <c r="P88" i="5"/>
  <c r="P87" i="5"/>
  <c r="N90" i="5"/>
  <c r="O90" i="5"/>
  <c r="G90" i="5"/>
  <c r="E89" i="5"/>
  <c r="F90" i="5"/>
  <c r="F87" i="5"/>
  <c r="F93" i="5" s="1"/>
  <c r="F98" i="5" s="1"/>
  <c r="G87" i="5"/>
  <c r="E88" i="5"/>
  <c r="E94" i="5" s="1"/>
  <c r="E99" i="5" s="1"/>
  <c r="D89" i="5"/>
  <c r="F88" i="5"/>
  <c r="D87" i="5"/>
  <c r="G89" i="5"/>
  <c r="E87" i="5"/>
  <c r="E93" i="5" s="1"/>
  <c r="E98" i="5" s="1"/>
  <c r="F89" i="5"/>
  <c r="F95" i="5" s="1"/>
  <c r="F100" i="5" s="1"/>
  <c r="G88" i="5"/>
  <c r="G94" i="5" s="1"/>
  <c r="G99" i="5" s="1"/>
  <c r="E90" i="5"/>
  <c r="D90" i="5"/>
  <c r="D88" i="5"/>
  <c r="T61" i="6" a="1"/>
  <c r="U62" i="6"/>
  <c r="T62" i="6"/>
  <c r="T61" i="6"/>
  <c r="U61" i="6"/>
  <c r="D94" i="5" l="1"/>
  <c r="D99" i="5" s="1"/>
  <c r="F94" i="5"/>
  <c r="F99" i="5" s="1"/>
  <c r="G96" i="5"/>
  <c r="G101" i="5" s="1"/>
  <c r="E96" i="5"/>
  <c r="E101" i="5" s="1"/>
  <c r="D93" i="5"/>
  <c r="D98" i="5" s="1"/>
  <c r="G93" i="5"/>
  <c r="G98" i="5" s="1"/>
  <c r="E95" i="5"/>
  <c r="E100" i="5" s="1"/>
  <c r="D96" i="5"/>
  <c r="D101" i="5" s="1"/>
  <c r="G95" i="5"/>
  <c r="G100" i="5" s="1"/>
  <c r="D95" i="5"/>
  <c r="D100" i="5" s="1"/>
  <c r="F96" i="5"/>
  <c r="F101" i="5" s="1"/>
</calcChain>
</file>

<file path=xl/comments1.xml><?xml version="1.0" encoding="utf-8"?>
<comments xmlns="http://schemas.openxmlformats.org/spreadsheetml/2006/main">
  <authors>
    <author>Razzle</author>
  </authors>
  <commentList>
    <comment ref="B11" authorId="0" shapeId="0">
      <text>
        <r>
          <rPr>
            <b/>
            <sz val="9"/>
            <color indexed="81"/>
            <rFont val="Tahoma"/>
            <family val="2"/>
          </rPr>
          <t>Razzle:</t>
        </r>
        <r>
          <rPr>
            <sz val="9"/>
            <color indexed="81"/>
            <rFont val="Tahoma"/>
            <family val="2"/>
          </rPr>
          <t xml:space="preserve">
(chi = 1 ==&gt; no thermal photons\phonons)</t>
        </r>
      </text>
    </comment>
  </commentList>
</comments>
</file>

<file path=xl/sharedStrings.xml><?xml version="1.0" encoding="utf-8"?>
<sst xmlns="http://schemas.openxmlformats.org/spreadsheetml/2006/main" count="453" uniqueCount="136">
  <si>
    <t>A</t>
  </si>
  <si>
    <t>X</t>
  </si>
  <si>
    <t>B</t>
  </si>
  <si>
    <t>+</t>
  </si>
  <si>
    <t>C</t>
  </si>
  <si>
    <t>=</t>
  </si>
  <si>
    <t>D</t>
  </si>
  <si>
    <t>x_11</t>
  </si>
  <si>
    <t>x_12</t>
  </si>
  <si>
    <t>x_21</t>
  </si>
  <si>
    <t>x_22</t>
  </si>
  <si>
    <t xml:space="preserve"> +</t>
  </si>
  <si>
    <t xml:space="preserve"> =</t>
  </si>
  <si>
    <t xml:space="preserve"> </t>
  </si>
  <si>
    <t>sigma</t>
  </si>
  <si>
    <t>A^T</t>
  </si>
  <si>
    <t>-</t>
  </si>
  <si>
    <t xml:space="preserve"> *</t>
  </si>
  <si>
    <t>mathexchange formula check</t>
  </si>
  <si>
    <t>rearranged our formula to look like mathexchange formula</t>
  </si>
  <si>
    <t>Solving for sigma</t>
  </si>
  <si>
    <t>a</t>
  </si>
  <si>
    <t>b</t>
  </si>
  <si>
    <t>c</t>
  </si>
  <si>
    <t xml:space="preserve">L </t>
  </si>
  <si>
    <t>H</t>
  </si>
  <si>
    <t xml:space="preserve">positive definite matrix by construction using Cholesky decomposition </t>
  </si>
  <si>
    <t xml:space="preserve">A </t>
  </si>
  <si>
    <t>Ω</t>
  </si>
  <si>
    <r>
      <t>L</t>
    </r>
    <r>
      <rPr>
        <sz val="8"/>
        <color theme="1"/>
        <rFont val="Calibri"/>
        <family val="2"/>
        <scheme val="minor"/>
      </rPr>
      <t>11</t>
    </r>
  </si>
  <si>
    <r>
      <t>L</t>
    </r>
    <r>
      <rPr>
        <sz val="8"/>
        <color theme="1"/>
        <rFont val="Calibri"/>
        <family val="2"/>
        <scheme val="minor"/>
      </rPr>
      <t>31</t>
    </r>
  </si>
  <si>
    <r>
      <t>L</t>
    </r>
    <r>
      <rPr>
        <sz val="8"/>
        <color theme="1"/>
        <rFont val="Calibri"/>
        <family val="2"/>
        <scheme val="minor"/>
      </rPr>
      <t>22</t>
    </r>
  </si>
  <si>
    <r>
      <t>L</t>
    </r>
    <r>
      <rPr>
        <sz val="8"/>
        <color theme="1"/>
        <rFont val="Calibri"/>
        <family val="2"/>
        <scheme val="minor"/>
      </rPr>
      <t>21</t>
    </r>
  </si>
  <si>
    <r>
      <t>L</t>
    </r>
    <r>
      <rPr>
        <sz val="8"/>
        <color theme="1"/>
        <rFont val="Calibri"/>
        <family val="2"/>
        <scheme val="minor"/>
      </rPr>
      <t>32</t>
    </r>
  </si>
  <si>
    <r>
      <t>L</t>
    </r>
    <r>
      <rPr>
        <sz val="8"/>
        <color theme="1"/>
        <rFont val="Calibri"/>
        <family val="2"/>
        <scheme val="minor"/>
      </rPr>
      <t>33</t>
    </r>
  </si>
  <si>
    <r>
      <t>L</t>
    </r>
    <r>
      <rPr>
        <sz val="8"/>
        <color theme="1"/>
        <rFont val="Calibri"/>
        <family val="2"/>
        <scheme val="minor"/>
      </rPr>
      <t>41</t>
    </r>
  </si>
  <si>
    <r>
      <t>L</t>
    </r>
    <r>
      <rPr>
        <sz val="8"/>
        <color theme="1"/>
        <rFont val="Calibri"/>
        <family val="2"/>
        <scheme val="minor"/>
      </rPr>
      <t>42</t>
    </r>
  </si>
  <si>
    <r>
      <t>L</t>
    </r>
    <r>
      <rPr>
        <sz val="8"/>
        <color theme="1"/>
        <rFont val="Calibri"/>
        <family val="2"/>
        <scheme val="minor"/>
      </rPr>
      <t>43</t>
    </r>
  </si>
  <si>
    <r>
      <t>L</t>
    </r>
    <r>
      <rPr>
        <sz val="8"/>
        <color theme="1"/>
        <rFont val="Calibri"/>
        <family val="2"/>
        <scheme val="minor"/>
      </rPr>
      <t>44</t>
    </r>
  </si>
  <si>
    <t>L =</t>
  </si>
  <si>
    <r>
      <t>H = L L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=</t>
    </r>
  </si>
  <si>
    <t xml:space="preserve">Ω = </t>
  </si>
  <si>
    <t xml:space="preserve">Drift, A = </t>
  </si>
  <si>
    <t>χ</t>
  </si>
  <si>
    <t xml:space="preserve">Diffusion, D = </t>
  </si>
  <si>
    <t>*</t>
  </si>
  <si>
    <r>
      <t>x</t>
    </r>
    <r>
      <rPr>
        <sz val="8"/>
        <color theme="1"/>
        <rFont val="Calibri"/>
        <family val="2"/>
        <scheme val="minor"/>
      </rPr>
      <t>11</t>
    </r>
  </si>
  <si>
    <r>
      <t>x</t>
    </r>
    <r>
      <rPr>
        <sz val="8"/>
        <color theme="1"/>
        <rFont val="Calibri"/>
        <family val="2"/>
        <scheme val="minor"/>
      </rPr>
      <t>12</t>
    </r>
  </si>
  <si>
    <r>
      <t>x</t>
    </r>
    <r>
      <rPr>
        <sz val="8"/>
        <color theme="1"/>
        <rFont val="Calibri"/>
        <family val="2"/>
        <scheme val="minor"/>
      </rPr>
      <t>13</t>
    </r>
  </si>
  <si>
    <r>
      <t>x</t>
    </r>
    <r>
      <rPr>
        <sz val="8"/>
        <color theme="1"/>
        <rFont val="Calibri"/>
        <family val="2"/>
        <scheme val="minor"/>
      </rPr>
      <t>14</t>
    </r>
  </si>
  <si>
    <r>
      <t>x</t>
    </r>
    <r>
      <rPr>
        <sz val="8"/>
        <color theme="1"/>
        <rFont val="Calibri"/>
        <family val="2"/>
        <scheme val="minor"/>
      </rPr>
      <t>21</t>
    </r>
  </si>
  <si>
    <r>
      <t>x</t>
    </r>
    <r>
      <rPr>
        <sz val="8"/>
        <color theme="1"/>
        <rFont val="Calibri"/>
        <family val="2"/>
        <scheme val="minor"/>
      </rPr>
      <t>22</t>
    </r>
  </si>
  <si>
    <r>
      <t>x</t>
    </r>
    <r>
      <rPr>
        <sz val="8"/>
        <color theme="1"/>
        <rFont val="Calibri"/>
        <family val="2"/>
        <scheme val="minor"/>
      </rPr>
      <t>23</t>
    </r>
  </si>
  <si>
    <r>
      <t>x</t>
    </r>
    <r>
      <rPr>
        <sz val="8"/>
        <color theme="1"/>
        <rFont val="Calibri"/>
        <family val="2"/>
        <scheme val="minor"/>
      </rPr>
      <t>24</t>
    </r>
  </si>
  <si>
    <r>
      <t>x</t>
    </r>
    <r>
      <rPr>
        <sz val="8"/>
        <color theme="1"/>
        <rFont val="Calibri"/>
        <family val="2"/>
        <scheme val="minor"/>
      </rPr>
      <t>31</t>
    </r>
  </si>
  <si>
    <r>
      <t>x</t>
    </r>
    <r>
      <rPr>
        <sz val="8"/>
        <color theme="1"/>
        <rFont val="Calibri"/>
        <family val="2"/>
        <scheme val="minor"/>
      </rPr>
      <t>41</t>
    </r>
  </si>
  <si>
    <r>
      <t>x</t>
    </r>
    <r>
      <rPr>
        <sz val="8"/>
        <color theme="1"/>
        <rFont val="Calibri"/>
        <family val="2"/>
        <scheme val="minor"/>
      </rPr>
      <t>32</t>
    </r>
  </si>
  <si>
    <r>
      <t>x</t>
    </r>
    <r>
      <rPr>
        <sz val="8"/>
        <color theme="1"/>
        <rFont val="Calibri"/>
        <family val="2"/>
        <scheme val="minor"/>
      </rPr>
      <t>33</t>
    </r>
  </si>
  <si>
    <r>
      <t>x</t>
    </r>
    <r>
      <rPr>
        <sz val="8"/>
        <color theme="1"/>
        <rFont val="Calibri"/>
        <family val="2"/>
        <scheme val="minor"/>
      </rPr>
      <t>34</t>
    </r>
  </si>
  <si>
    <r>
      <t>x</t>
    </r>
    <r>
      <rPr>
        <sz val="8"/>
        <color theme="1"/>
        <rFont val="Calibri"/>
        <family val="2"/>
        <scheme val="minor"/>
      </rPr>
      <t>42</t>
    </r>
  </si>
  <si>
    <r>
      <t>x</t>
    </r>
    <r>
      <rPr>
        <sz val="8"/>
        <color theme="1"/>
        <rFont val="Calibri"/>
        <family val="2"/>
        <scheme val="minor"/>
      </rPr>
      <t>43</t>
    </r>
  </si>
  <si>
    <r>
      <t>x</t>
    </r>
    <r>
      <rPr>
        <sz val="8"/>
        <color theme="1"/>
        <rFont val="Calibri"/>
        <family val="2"/>
        <scheme val="minor"/>
      </rPr>
      <t>44</t>
    </r>
  </si>
  <si>
    <t xml:space="preserve">Identity = </t>
  </si>
  <si>
    <r>
      <t xml:space="preserve">Choose value of </t>
    </r>
    <r>
      <rPr>
        <b/>
        <sz val="11"/>
        <color theme="1"/>
        <rFont val="Calibri"/>
        <family val="2"/>
      </rPr>
      <t>χ:</t>
    </r>
  </si>
  <si>
    <t xml:space="preserve">Determinant = </t>
  </si>
  <si>
    <t>σ</t>
  </si>
  <si>
    <t>-D</t>
  </si>
  <si>
    <t>(I 'KroneckerProduct' A + A 'KroneckerProduct' I)</t>
  </si>
  <si>
    <r>
      <t>vec(</t>
    </r>
    <r>
      <rPr>
        <sz val="11"/>
        <color theme="1"/>
        <rFont val="Calibri"/>
        <family val="2"/>
      </rPr>
      <t>σ)</t>
    </r>
  </si>
  <si>
    <t>vec(-D)</t>
  </si>
  <si>
    <t xml:space="preserve">σ = </t>
  </si>
  <si>
    <t xml:space="preserve"> -D</t>
  </si>
  <si>
    <t>I</t>
  </si>
  <si>
    <t xml:space="preserve"> A 'KroneckerProduct' I</t>
  </si>
  <si>
    <t>I 'KroneckerProduct' A</t>
  </si>
  <si>
    <t>Solving for σ:</t>
  </si>
  <si>
    <t>I =</t>
  </si>
  <si>
    <t>D = chi * I</t>
  </si>
  <si>
    <t>* I</t>
  </si>
  <si>
    <r>
      <rPr>
        <sz val="11"/>
        <color theme="1"/>
        <rFont val="Calibri"/>
        <family val="2"/>
      </rPr>
      <t>Ω</t>
    </r>
    <r>
      <rPr>
        <sz val="8.8000000000000007"/>
        <color theme="1"/>
        <rFont val="Calibri"/>
        <family val="2"/>
      </rPr>
      <t>*H</t>
    </r>
  </si>
  <si>
    <t>Aσ</t>
  </si>
  <si>
    <t>σA^T</t>
  </si>
  <si>
    <t>chi_1 =</t>
  </si>
  <si>
    <t>chi_2 =</t>
  </si>
  <si>
    <t>kappa_1=</t>
  </si>
  <si>
    <t>kappa_2=</t>
  </si>
  <si>
    <t xml:space="preserve">Analytical = </t>
  </si>
  <si>
    <t>(chi1+chi2)^2 / (kappa1+kappa2)^2</t>
  </si>
  <si>
    <t>beta =</t>
  </si>
  <si>
    <t>a =</t>
  </si>
  <si>
    <t>(1 + Kappa1*Kappa2/(4*N*N))=</t>
  </si>
  <si>
    <t>Agreement</t>
  </si>
  <si>
    <t>Model</t>
  </si>
  <si>
    <t>Optimised</t>
  </si>
  <si>
    <t>Kappa2</t>
  </si>
  <si>
    <t>Kappa1</t>
  </si>
  <si>
    <t>Chi2</t>
  </si>
  <si>
    <t>Chi1</t>
  </si>
  <si>
    <t>chi1</t>
  </si>
  <si>
    <t>chi2</t>
  </si>
  <si>
    <t>kappa1</t>
  </si>
  <si>
    <t>kappa2</t>
  </si>
  <si>
    <t>Observed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</si>
  <si>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</si>
  <si>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</si>
  <si>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</si>
  <si>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</si>
  <si>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</si>
  <si>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</si>
  <si>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</si>
  <si>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</si>
  <si>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</si>
  <si>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</si>
  <si>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</si>
  <si>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</si>
  <si>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</si>
  <si>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</si>
  <si>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</si>
  <si>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</si>
  <si>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</si>
  <si>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</si>
  <si>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</si>
  <si>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</si>
  <si>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</si>
  <si>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</si>
  <si>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</si>
  <si>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</si>
  <si>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</si>
  <si>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X Variable 2</t>
  </si>
  <si>
    <t>X Variable 3</t>
  </si>
  <si>
    <t>X Variable 4</t>
  </si>
  <si>
    <t>RESIDUAL OUTPUT</t>
  </si>
  <si>
    <t>Observation</t>
  </si>
  <si>
    <t>Predicted Y</t>
  </si>
  <si>
    <t>Residuals</t>
  </si>
  <si>
    <t>observed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</si>
</sst>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3" formatCode="_-* #,##0.00_-;\-* #,##0.00_-;_-* &quot;-&quot;??_-;_-@_-"/>
    <numFmt numFmtId="164" formatCode="0.0"/>
    <numFmt numFmtId="165" formatCode="0.0000000"/>
    <numFmt numFmtId="166" formatCode="0.000000"/>
    <numFmt numFmtId="167" formatCode="0.000"/>
    <numFmt numFmtId="168" formatCode="0.0000"/>
    <numFmt numFmtId="169" formatCode="0.00000"/>
    <numFmt numFmtId="170" formatCode="0.00000000"/>
    <numFmt numFmtId="171" formatCode="#,##0.0"/>
    <numFmt numFmtId="172" formatCode="#,##0.0000"/>
    <numFmt numFmtId="173" formatCode="#,##0.000"/>
    <numFmt numFmtId="174" formatCode="0.0E+00"/>
    <numFmt numFmtId="175" formatCode="#,##0.000000"/>
    <numFmt numFmtId="176" formatCode="0.0000%"/>
  </numFmts>
  <fonts count="1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8.8000000000000007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3" borderId="0" applyNumberFormat="0" applyBorder="0" applyAlignment="0" applyProtection="0"/>
    <xf numFmtId="43" fontId="8" fillId="0" borderId="0" applyFont="0" applyFill="0" applyBorder="0" applyAlignment="0" applyProtection="0"/>
    <xf numFmtId="0" fontId="12" fillId="12" borderId="0" applyNumberFormat="0" applyBorder="0" applyAlignment="0" applyProtection="0"/>
    <xf numFmtId="9" fontId="8" fillId="0" borderId="0" applyFont="0" applyFill="0" applyBorder="0" applyAlignment="0" applyProtection="0"/>
  </cellStyleXfs>
  <cellXfs count="78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4" borderId="0" xfId="0" applyFill="1"/>
    <xf numFmtId="0" fontId="1" fillId="3" borderId="0" xfId="1"/>
    <xf numFmtId="164" fontId="1" fillId="3" borderId="0" xfId="1" applyNumberFormat="1"/>
    <xf numFmtId="0" fontId="0" fillId="0" borderId="0" xfId="0" applyAlignment="1">
      <alignment horizontal="right"/>
    </xf>
    <xf numFmtId="0" fontId="0" fillId="0" borderId="0" xfId="0" quotePrefix="1" applyAlignment="1">
      <alignment horizontal="center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5" borderId="0" xfId="0" applyFill="1"/>
    <xf numFmtId="12" fontId="0" fillId="6" borderId="0" xfId="0" applyNumberFormat="1" applyFill="1"/>
    <xf numFmtId="0" fontId="0" fillId="6" borderId="0" xfId="0" applyFont="1" applyFill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6" borderId="0" xfId="0" applyFont="1" applyFill="1" applyAlignment="1">
      <alignment horizontal="center"/>
    </xf>
    <xf numFmtId="0" fontId="0" fillId="6" borderId="0" xfId="0" applyNumberFormat="1" applyFill="1"/>
    <xf numFmtId="0" fontId="0" fillId="5" borderId="0" xfId="0" applyNumberFormat="1" applyFill="1"/>
    <xf numFmtId="164" fontId="0" fillId="6" borderId="0" xfId="0" applyNumberFormat="1" applyFill="1" applyAlignment="1">
      <alignment horizontal="right"/>
    </xf>
    <xf numFmtId="164" fontId="0" fillId="5" borderId="0" xfId="0" applyNumberFormat="1" applyFill="1" applyAlignment="1">
      <alignment horizontal="right"/>
    </xf>
    <xf numFmtId="2" fontId="0" fillId="0" borderId="0" xfId="0" applyNumberFormat="1"/>
    <xf numFmtId="166" fontId="0" fillId="0" borderId="0" xfId="0" applyNumberFormat="1"/>
    <xf numFmtId="3" fontId="0" fillId="6" borderId="0" xfId="0" applyNumberFormat="1" applyFill="1" applyAlignment="1">
      <alignment horizontal="right"/>
    </xf>
    <xf numFmtId="1" fontId="0" fillId="6" borderId="0" xfId="0" applyNumberFormat="1" applyFill="1" applyAlignment="1">
      <alignment horizontal="right"/>
    </xf>
    <xf numFmtId="0" fontId="0" fillId="8" borderId="0" xfId="0" applyFill="1" applyAlignment="1">
      <alignment horizontal="center"/>
    </xf>
    <xf numFmtId="0" fontId="5" fillId="0" borderId="0" xfId="0" applyFont="1" applyAlignment="1">
      <alignment horizontal="right"/>
    </xf>
    <xf numFmtId="165" fontId="7" fillId="0" borderId="0" xfId="0" applyNumberFormat="1" applyFont="1"/>
    <xf numFmtId="0" fontId="2" fillId="0" borderId="0" xfId="0" applyFont="1" applyAlignment="1">
      <alignment horizontal="right"/>
    </xf>
    <xf numFmtId="0" fontId="0" fillId="10" borderId="0" xfId="0" applyFill="1"/>
    <xf numFmtId="164" fontId="0" fillId="7" borderId="0" xfId="0" applyNumberFormat="1" applyFill="1"/>
    <xf numFmtId="0" fontId="0" fillId="7" borderId="0" xfId="0" applyFill="1" applyAlignment="1">
      <alignment horizontal="right"/>
    </xf>
    <xf numFmtId="43" fontId="0" fillId="0" borderId="0" xfId="2" applyNumberFormat="1" applyFont="1"/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quotePrefix="1"/>
    <xf numFmtId="0" fontId="0" fillId="9" borderId="0" xfId="0" applyFill="1"/>
    <xf numFmtId="0" fontId="0" fillId="9" borderId="0" xfId="0" applyFill="1" applyAlignment="1">
      <alignment horizontal="right"/>
    </xf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2" fontId="0" fillId="2" borderId="0" xfId="0" applyNumberFormat="1" applyFill="1"/>
    <xf numFmtId="167" fontId="0" fillId="7" borderId="0" xfId="0" applyNumberFormat="1" applyFill="1" applyAlignment="1">
      <alignment horizontal="center"/>
    </xf>
    <xf numFmtId="0" fontId="7" fillId="0" borderId="0" xfId="0" applyFont="1" applyAlignment="1"/>
    <xf numFmtId="168" fontId="0" fillId="6" borderId="0" xfId="0" applyNumberFormat="1" applyFill="1" applyAlignment="1">
      <alignment horizontal="right"/>
    </xf>
    <xf numFmtId="169" fontId="0" fillId="6" borderId="0" xfId="0" applyNumberFormat="1" applyFill="1" applyAlignment="1">
      <alignment horizontal="right"/>
    </xf>
    <xf numFmtId="170" fontId="7" fillId="0" borderId="0" xfId="0" applyNumberFormat="1" applyFont="1"/>
    <xf numFmtId="171" fontId="0" fillId="6" borderId="0" xfId="0" applyNumberFormat="1" applyFill="1" applyAlignment="1">
      <alignment horizontal="right"/>
    </xf>
    <xf numFmtId="167" fontId="0" fillId="0" borderId="0" xfId="0" applyNumberFormat="1"/>
    <xf numFmtId="168" fontId="0" fillId="0" borderId="0" xfId="0" applyNumberFormat="1"/>
    <xf numFmtId="0" fontId="0" fillId="6" borderId="0" xfId="0" applyNumberFormat="1" applyFill="1" applyAlignment="1">
      <alignment horizontal="right"/>
    </xf>
    <xf numFmtId="4" fontId="0" fillId="0" borderId="0" xfId="0" applyNumberFormat="1"/>
    <xf numFmtId="172" fontId="0" fillId="0" borderId="0" xfId="0" applyNumberFormat="1"/>
    <xf numFmtId="167" fontId="0" fillId="5" borderId="0" xfId="0" applyNumberFormat="1" applyFill="1" applyAlignment="1">
      <alignment horizontal="right"/>
    </xf>
    <xf numFmtId="173" fontId="0" fillId="0" borderId="0" xfId="0" applyNumberFormat="1"/>
    <xf numFmtId="168" fontId="0" fillId="7" borderId="0" xfId="0" applyNumberFormat="1" applyFill="1" applyAlignment="1">
      <alignment horizontal="center"/>
    </xf>
    <xf numFmtId="168" fontId="0" fillId="11" borderId="0" xfId="0" applyNumberFormat="1" applyFill="1" applyAlignment="1">
      <alignment horizontal="center"/>
    </xf>
    <xf numFmtId="174" fontId="0" fillId="0" borderId="0" xfId="0" applyNumberFormat="1"/>
    <xf numFmtId="11" fontId="0" fillId="0" borderId="0" xfId="0" applyNumberFormat="1"/>
    <xf numFmtId="173" fontId="0" fillId="6" borderId="0" xfId="0" applyNumberFormat="1" applyFill="1" applyAlignment="1">
      <alignment horizontal="right"/>
    </xf>
    <xf numFmtId="0" fontId="0" fillId="0" borderId="0" xfId="0" applyNumberFormat="1"/>
    <xf numFmtId="175" fontId="0" fillId="6" borderId="0" xfId="0" applyNumberFormat="1" applyFill="1" applyAlignment="1">
      <alignment horizontal="right"/>
    </xf>
    <xf numFmtId="166" fontId="0" fillId="5" borderId="0" xfId="0" applyNumberFormat="1" applyFill="1" applyAlignment="1">
      <alignment horizontal="right"/>
    </xf>
    <xf numFmtId="169" fontId="0" fillId="0" borderId="0" xfId="0" applyNumberFormat="1"/>
    <xf numFmtId="166" fontId="12" fillId="12" borderId="0" xfId="3" applyNumberFormat="1"/>
    <xf numFmtId="0" fontId="12" fillId="12" borderId="0" xfId="3"/>
    <xf numFmtId="0" fontId="13" fillId="0" borderId="0" xfId="0" applyFont="1" applyAlignment="1">
      <alignment horizontal="right"/>
    </xf>
    <xf numFmtId="0" fontId="13" fillId="0" borderId="0" xfId="0" applyFont="1"/>
    <xf numFmtId="0" fontId="0" fillId="0" borderId="0" xfId="0" quotePrefix="1" applyAlignment="1">
      <alignment horizontal="right"/>
    </xf>
    <xf numFmtId="169" fontId="12" fillId="12" borderId="0" xfId="3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2" fillId="0" borderId="0" xfId="0" applyFont="1" applyAlignment="1">
      <alignment horizontal="center"/>
    </xf>
    <xf numFmtId="176" fontId="0" fillId="0" borderId="0" xfId="4" applyNumberFormat="1" applyFont="1"/>
    <xf numFmtId="10" fontId="0" fillId="0" borderId="0" xfId="0" applyNumberFormat="1"/>
    <xf numFmtId="0" fontId="0" fillId="0" borderId="0" xfId="0" applyFill="1" applyBorder="1" applyAlignment="1"/>
    <xf numFmtId="0" fontId="0" fillId="0" borderId="1" xfId="0" applyFill="1" applyBorder="1" applyAlignment="1"/>
    <xf numFmtId="0" fontId="14" fillId="0" borderId="2" xfId="0" applyFont="1" applyFill="1" applyBorder="1" applyAlignment="1">
      <alignment horizontal="center"/>
    </xf>
    <xf numFmtId="0" fontId="14" fillId="0" borderId="2" xfId="0" applyFont="1" applyFill="1" applyBorder="1" applyAlignment="1">
      <alignment horizontal="centerContinuous"/>
    </xf>
  </cellXfs>
  <cellStyles count="5">
    <cellStyle name="Comma" xfId="2" builtinId="3"/>
    <cellStyle name="Good" xfId="1" builtinId="26"/>
    <cellStyle name="Neutral" xfId="3" builtinId="28"/>
    <cellStyle name="Normal" xfId="0" builtinId="0"/>
    <cellStyle name="Percent" xfId="4" builtinId="5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0.0000%"/>
    </dxf>
    <dxf>
      <numFmt numFmtId="168" formatCode="0.0000"/>
    </dxf>
    <dxf>
      <numFmt numFmtId="168" formatCode="0.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270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1940988626421702"/>
                  <c:y val="-5.6002779064381655E-2"/>
                </c:manualLayout>
              </c:layout>
              <c:numFmt formatCode="#,##0.0000" sourceLinked="0"/>
              <c:spPr>
                <a:solidFill>
                  <a:schemeClr val="bg1"/>
                </a:solidFill>
                <a:ln>
                  <a:solidFill>
                    <a:schemeClr val="tx1">
                      <a:lumMod val="50000"/>
                      <a:lumOff val="50000"/>
                    </a:schemeClr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Sheet3!$M$5:$M$22</c:f>
              <c:numCache>
                <c:formatCode>General</c:formatCode>
                <c:ptCount val="18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</c:numCache>
            </c:numRef>
          </c:xVal>
          <c:yVal>
            <c:numRef>
              <c:f>Sheet3!$N$5:$N$22</c:f>
              <c:numCache>
                <c:formatCode>General</c:formatCode>
                <c:ptCount val="18"/>
                <c:pt idx="0">
                  <c:v>0</c:v>
                </c:pt>
                <c:pt idx="1">
                  <c:v>1.3862943611198906</c:v>
                </c:pt>
                <c:pt idx="2">
                  <c:v>2.1972245773362196</c:v>
                </c:pt>
                <c:pt idx="3">
                  <c:v>2.7725887222397811</c:v>
                </c:pt>
                <c:pt idx="4">
                  <c:v>3.2188758248682006</c:v>
                </c:pt>
                <c:pt idx="5">
                  <c:v>3.5835189384561099</c:v>
                </c:pt>
                <c:pt idx="6">
                  <c:v>3.8918202981106265</c:v>
                </c:pt>
                <c:pt idx="7">
                  <c:v>4.1588830833596715</c:v>
                </c:pt>
                <c:pt idx="8">
                  <c:v>4.3944491546724391</c:v>
                </c:pt>
                <c:pt idx="9">
                  <c:v>4.6051701859880918</c:v>
                </c:pt>
                <c:pt idx="10">
                  <c:v>4.7957905455967413</c:v>
                </c:pt>
                <c:pt idx="11">
                  <c:v>4.9698132995760007</c:v>
                </c:pt>
                <c:pt idx="12">
                  <c:v>5.1298987149230735</c:v>
                </c:pt>
                <c:pt idx="13">
                  <c:v>5.2781146592305168</c:v>
                </c:pt>
                <c:pt idx="14">
                  <c:v>5.4161004022044201</c:v>
                </c:pt>
                <c:pt idx="15">
                  <c:v>5.5451774444795623</c:v>
                </c:pt>
                <c:pt idx="16">
                  <c:v>5.6664266881124323</c:v>
                </c:pt>
                <c:pt idx="17">
                  <c:v>5.780743515792329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1C-44FE-BCB6-F616024E1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788384"/>
        <c:axId val="479792976"/>
      </c:scatterChart>
      <c:valAx>
        <c:axId val="47978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92976"/>
        <c:crosses val="autoZero"/>
        <c:crossBetween val="midCat"/>
      </c:valAx>
      <c:valAx>
        <c:axId val="4797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Minimum Determinant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88384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Sheet3!$AB$5</c:f>
              <c:strCache>
                <c:ptCount val="1"/>
                <c:pt idx="0">
                  <c:v>Observed</c:v>
                </c:pt>
              </c:strCache>
            </c:strRef>
          </c:tx>
          <c:spPr>
            <a:ln w="12700" cap="rnd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75000"/>
                  <a:lumOff val="25000"/>
                </a:schemeClr>
              </a:solidFill>
              <a:ln w="9525">
                <a:noFill/>
                <a:prstDash val="sysDot"/>
              </a:ln>
              <a:effectLst/>
            </c:spPr>
          </c:marker>
          <c:xVal>
            <c:numRef>
              <c:f>Sheet3!$X$6:$X$25</c:f>
              <c:numCache>
                <c:formatCode>General</c:formatCode>
                <c:ptCount val="2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</c:numCache>
            </c:numRef>
          </c:xVal>
          <c:yVal>
            <c:numRef>
              <c:f>Sheet3!$AB$6:$AB$25</c:f>
              <c:numCache>
                <c:formatCode>General</c:formatCode>
                <c:ptCount val="20"/>
                <c:pt idx="0">
                  <c:v>5.4443999999999999</c:v>
                </c:pt>
                <c:pt idx="1">
                  <c:v>7.1111000000000004</c:v>
                </c:pt>
                <c:pt idx="2">
                  <c:v>9</c:v>
                </c:pt>
                <c:pt idx="3">
                  <c:v>11.1111</c:v>
                </c:pt>
                <c:pt idx="4">
                  <c:v>13.4445</c:v>
                </c:pt>
                <c:pt idx="5">
                  <c:v>16.0001</c:v>
                </c:pt>
                <c:pt idx="6">
                  <c:v>18.777799999999999</c:v>
                </c:pt>
                <c:pt idx="7">
                  <c:v>21.777899999999999</c:v>
                </c:pt>
                <c:pt idx="8">
                  <c:v>25.0001</c:v>
                </c:pt>
                <c:pt idx="9">
                  <c:v>28.444500000000001</c:v>
                </c:pt>
                <c:pt idx="10">
                  <c:v>32.111199999999997</c:v>
                </c:pt>
                <c:pt idx="11">
                  <c:v>36</c:v>
                </c:pt>
                <c:pt idx="12">
                  <c:v>40.1111</c:v>
                </c:pt>
                <c:pt idx="13">
                  <c:v>44.444499999999998</c:v>
                </c:pt>
                <c:pt idx="14">
                  <c:v>49</c:v>
                </c:pt>
                <c:pt idx="15">
                  <c:v>53.777900000000002</c:v>
                </c:pt>
                <c:pt idx="16">
                  <c:v>58.777999999999999</c:v>
                </c:pt>
                <c:pt idx="17">
                  <c:v>64.000399999999999</c:v>
                </c:pt>
                <c:pt idx="18">
                  <c:v>69.444800000000001</c:v>
                </c:pt>
                <c:pt idx="19">
                  <c:v>75.111599999999996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388-4A2B-B1D2-EE11B936BBE5}"/>
            </c:ext>
          </c:extLst>
        </c:ser>
        <c:ser>
          <c:idx val="0"/>
          <c:order val="1"/>
          <c:tx>
            <c:strRef>
              <c:f>Sheet3!$AC$5</c:f>
              <c:strCache>
                <c:ptCount val="1"/>
                <c:pt idx="0">
                  <c:v>Model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Sheet3!$X$6:$X$25</c:f>
              <c:numCache>
                <c:formatCode>General</c:formatCode>
                <c:ptCount val="2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</c:numCache>
            </c:numRef>
          </c:xVal>
          <c:yVal>
            <c:numRef>
              <c:f>Sheet3!$AC$6:$AC$25</c:f>
              <c:numCache>
                <c:formatCode>General</c:formatCode>
                <c:ptCount val="20"/>
                <c:pt idx="0">
                  <c:v>5.4444444444444455</c:v>
                </c:pt>
                <c:pt idx="1">
                  <c:v>7.1111111111111107</c:v>
                </c:pt>
                <c:pt idx="2">
                  <c:v>9</c:v>
                </c:pt>
                <c:pt idx="3">
                  <c:v>11.111111111111112</c:v>
                </c:pt>
                <c:pt idx="4">
                  <c:v>13.444444444444443</c:v>
                </c:pt>
                <c:pt idx="5">
                  <c:v>16</c:v>
                </c:pt>
                <c:pt idx="6">
                  <c:v>18.777777777777775</c:v>
                </c:pt>
                <c:pt idx="7">
                  <c:v>21.777777777777782</c:v>
                </c:pt>
                <c:pt idx="8">
                  <c:v>25</c:v>
                </c:pt>
                <c:pt idx="9">
                  <c:v>28.444444444444443</c:v>
                </c:pt>
                <c:pt idx="10">
                  <c:v>32.111111111111114</c:v>
                </c:pt>
                <c:pt idx="11">
                  <c:v>36</c:v>
                </c:pt>
                <c:pt idx="12">
                  <c:v>40.111111111111107</c:v>
                </c:pt>
                <c:pt idx="13">
                  <c:v>44.44444444444445</c:v>
                </c:pt>
                <c:pt idx="14">
                  <c:v>49</c:v>
                </c:pt>
                <c:pt idx="15">
                  <c:v>53.777777777777771</c:v>
                </c:pt>
                <c:pt idx="16">
                  <c:v>58.777777777777786</c:v>
                </c:pt>
                <c:pt idx="17">
                  <c:v>64</c:v>
                </c:pt>
                <c:pt idx="18">
                  <c:v>69.444444444444457</c:v>
                </c:pt>
                <c:pt idx="19">
                  <c:v>75.1111111111111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388-4A2B-B1D2-EE11B936B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528776"/>
        <c:axId val="491530416"/>
      </c:scatterChart>
      <c:valAx>
        <c:axId val="491528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Chi1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530416"/>
        <c:crosses val="autoZero"/>
        <c:crossBetween val="midCat"/>
      </c:valAx>
      <c:valAx>
        <c:axId val="49153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Minimum Determinant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528776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l"/>
      <c:layout>
        <c:manualLayout>
          <c:xMode val="edge"/>
          <c:yMode val="edge"/>
          <c:x val="0.14322916666666666"/>
          <c:y val="9.7800379119276776E-2"/>
          <c:w val="0.18907562335958009"/>
          <c:h val="0.15625109361329836"/>
        </c:manualLayout>
      </c:layout>
      <c:overlay val="1"/>
      <c:spPr>
        <a:solidFill>
          <a:schemeClr val="bg1"/>
        </a:solidFill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4179921259842518"/>
                  <c:y val="-3.282407407407407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Sheet3!$AF$9:$AF$22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Sheet3!$AG$9:$AG$22</c:f>
              <c:numCache>
                <c:formatCode>General</c:formatCode>
                <c:ptCount val="14"/>
                <c:pt idx="0">
                  <c:v>2.015490257860701</c:v>
                </c:pt>
                <c:pt idx="1">
                  <c:v>4.0370715316819075</c:v>
                </c:pt>
                <c:pt idx="2">
                  <c:v>5.9649492622979139</c:v>
                </c:pt>
                <c:pt idx="3">
                  <c:v>8.0230701985607684</c:v>
                </c:pt>
                <c:pt idx="4">
                  <c:v>9.9612079013528874</c:v>
                </c:pt>
                <c:pt idx="5">
                  <c:v>11.952401322500645</c:v>
                </c:pt>
                <c:pt idx="6">
                  <c:v>14.02760670537203</c:v>
                </c:pt>
                <c:pt idx="7">
                  <c:v>15.993218965691533</c:v>
                </c:pt>
                <c:pt idx="8">
                  <c:v>18.023098188754776</c:v>
                </c:pt>
                <c:pt idx="9">
                  <c:v>19.957154760803423</c:v>
                </c:pt>
                <c:pt idx="10">
                  <c:v>21.97441594415416</c:v>
                </c:pt>
                <c:pt idx="11">
                  <c:v>23.968458947360428</c:v>
                </c:pt>
                <c:pt idx="12">
                  <c:v>26.018766388662762</c:v>
                </c:pt>
                <c:pt idx="13">
                  <c:v>27.990901827221574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A6-4F9E-B11E-1F5BE4944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254488"/>
        <c:axId val="603256784"/>
      </c:scatterChart>
      <c:valAx>
        <c:axId val="60325448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256784"/>
        <c:crosses val="autoZero"/>
        <c:crossBetween val="midCat"/>
      </c:valAx>
      <c:valAx>
        <c:axId val="60325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254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198120</xdr:colOff>
      <xdr:row>26</xdr:row>
      <xdr:rowOff>121920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F846BC5-ABD7-4E22-900E-CB6F4E039794}"/>
            </a:ext>
          </a:extLst>
        </xdr:cNvPr>
        <xdr:cNvSpPr txBox="1"/>
      </xdr:nvSpPr>
      <xdr:spPr>
        <a:xfrm>
          <a:off x="6758940" y="48996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15</xdr:col>
      <xdr:colOff>198120</xdr:colOff>
      <xdr:row>79</xdr:row>
      <xdr:rowOff>121920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BCA770F-1484-4C28-B076-71CF8E82860B}"/>
            </a:ext>
          </a:extLst>
        </xdr:cNvPr>
        <xdr:cNvSpPr txBox="1"/>
      </xdr:nvSpPr>
      <xdr:spPr>
        <a:xfrm>
          <a:off x="8665845" y="485584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198120</xdr:colOff>
      <xdr:row>30</xdr:row>
      <xdr:rowOff>121920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6ADC24C-D63B-4448-997A-0DBAE1602AF4}"/>
            </a:ext>
          </a:extLst>
        </xdr:cNvPr>
        <xdr:cNvSpPr txBox="1"/>
      </xdr:nvSpPr>
      <xdr:spPr>
        <a:xfrm>
          <a:off x="8641080" y="489966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15</xdr:col>
      <xdr:colOff>198120</xdr:colOff>
      <xdr:row>83</xdr:row>
      <xdr:rowOff>121920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2E86CC8-5F0E-405A-AD50-9A67BC741B44}"/>
            </a:ext>
          </a:extLst>
        </xdr:cNvPr>
        <xdr:cNvSpPr txBox="1"/>
      </xdr:nvSpPr>
      <xdr:spPr>
        <a:xfrm>
          <a:off x="9197340" y="14592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167640</xdr:colOff>
      <xdr:row>3</xdr:row>
      <xdr:rowOff>152400</xdr:rowOff>
    </xdr:from>
    <xdr:to>
      <xdr:col>22</xdr:col>
      <xdr:colOff>0</xdr:colOff>
      <xdr:row>22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3ACEDC-928D-4F27-BD59-293B95973C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23</xdr:row>
      <xdr:rowOff>0</xdr:rowOff>
    </xdr:from>
    <xdr:to>
      <xdr:col>22</xdr:col>
      <xdr:colOff>0</xdr:colOff>
      <xdr:row>38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6B958E-AA50-4182-B106-F4AA3345D2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426720</xdr:colOff>
      <xdr:row>4</xdr:row>
      <xdr:rowOff>64770</xdr:rowOff>
    </xdr:from>
    <xdr:to>
      <xdr:col>28</xdr:col>
      <xdr:colOff>121920</xdr:colOff>
      <xdr:row>19</xdr:row>
      <xdr:rowOff>64770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C705CD7-39B9-4907-A49F-F228286465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zzle/Documents/Sigma_solve_draft_DOC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igmaSolver"/>
      <sheetName val="1Mode case"/>
      <sheetName val="2Mode Case"/>
      <sheetName val="Cooling"/>
      <sheetName val="1Mode case (New)"/>
      <sheetName val="2Mode Case (New)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2">
          <cell r="C22">
            <v>1</v>
          </cell>
          <cell r="D22">
            <v>0</v>
          </cell>
          <cell r="E22">
            <v>0</v>
          </cell>
          <cell r="F22">
            <v>0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0</v>
          </cell>
        </row>
        <row r="24">
          <cell r="C24">
            <v>0</v>
          </cell>
          <cell r="D24">
            <v>0</v>
          </cell>
          <cell r="E24">
            <v>1</v>
          </cell>
          <cell r="F24">
            <v>0</v>
          </cell>
        </row>
        <row r="25">
          <cell r="C25">
            <v>0</v>
          </cell>
          <cell r="D25">
            <v>0</v>
          </cell>
          <cell r="E25">
            <v>0</v>
          </cell>
          <cell r="F25">
            <v>1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id="1" name="Table1" displayName="Table1" ref="B4:H334" totalsRowShown="0">
  <autoFilter ref="B4:H334"/>
  <tableColumns count="7">
    <tableColumn id="1" name="Chi1"/>
    <tableColumn id="2" name="Chi2"/>
    <tableColumn id="3" name="Kappa1"/>
    <tableColumn id="4" name="Kappa2"/>
    <tableColumn id="5" name="Optimised" dataDxfId="2"/>
    <tableColumn id="6" name="Model" dataDxfId="1"/>
    <tableColumn id="7" name="Agreement" dataDxfId="0" dataCellStyle="Perc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4"/>
  <sheetViews>
    <sheetView workbookViewId="0">
      <selection activeCell="L15" sqref="L15"/>
    </sheetView>
  </sheetViews>
  <sheetFormatPr defaultRowHeight="14.4" x14ac:dyDescent="0.3"/>
  <cols>
    <col min="2" max="18" width="4.77734375" customWidth="1"/>
  </cols>
  <sheetData>
    <row r="1" spans="1:18" x14ac:dyDescent="0.3">
      <c r="A1" t="s">
        <v>18</v>
      </c>
    </row>
    <row r="2" spans="1:18" x14ac:dyDescent="0.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1</v>
      </c>
      <c r="H2" t="s">
        <v>5</v>
      </c>
      <c r="I2" t="s">
        <v>6</v>
      </c>
    </row>
    <row r="4" spans="1:18" x14ac:dyDescent="0.3">
      <c r="B4" s="1">
        <v>1</v>
      </c>
      <c r="C4" s="1">
        <v>2</v>
      </c>
      <c r="E4" s="1" t="s">
        <v>7</v>
      </c>
      <c r="F4" s="1" t="s">
        <v>8</v>
      </c>
      <c r="H4" s="1">
        <v>3</v>
      </c>
      <c r="I4" s="1">
        <v>4</v>
      </c>
      <c r="J4" s="2" t="s">
        <v>11</v>
      </c>
      <c r="K4" s="1">
        <v>5</v>
      </c>
      <c r="L4" s="1">
        <v>6</v>
      </c>
      <c r="N4" s="1" t="str">
        <f t="shared" ref="N4:O5" si="0">E4</f>
        <v>x_11</v>
      </c>
      <c r="O4" s="1" t="str">
        <f t="shared" si="0"/>
        <v>x_12</v>
      </c>
      <c r="P4" s="2" t="s">
        <v>12</v>
      </c>
      <c r="Q4" s="1">
        <v>7</v>
      </c>
      <c r="R4" s="1">
        <v>8</v>
      </c>
    </row>
    <row r="5" spans="1:18" x14ac:dyDescent="0.3">
      <c r="B5" s="1">
        <v>3</v>
      </c>
      <c r="C5" s="1">
        <v>4</v>
      </c>
      <c r="E5" s="1" t="s">
        <v>9</v>
      </c>
      <c r="F5" s="1" t="s">
        <v>10</v>
      </c>
      <c r="H5" s="1">
        <v>5</v>
      </c>
      <c r="I5" s="1">
        <v>6</v>
      </c>
      <c r="K5" s="1">
        <v>7</v>
      </c>
      <c r="L5" s="1">
        <v>8</v>
      </c>
      <c r="N5" s="1" t="str">
        <f t="shared" si="0"/>
        <v>x_21</v>
      </c>
      <c r="O5" s="1" t="str">
        <f t="shared" si="0"/>
        <v>x_22</v>
      </c>
      <c r="Q5" s="1">
        <v>9</v>
      </c>
      <c r="R5" s="1">
        <v>10</v>
      </c>
    </row>
    <row r="9" spans="1:18" x14ac:dyDescent="0.3">
      <c r="B9" s="1">
        <f t="array" ref="B9:C10">$B$4:$C$5 * $H$4</f>
        <v>3</v>
      </c>
      <c r="C9" s="1">
        <v>6</v>
      </c>
      <c r="D9" s="1">
        <f t="array" ref="D9:E10">$B$4:$C$5 * $H$5</f>
        <v>5</v>
      </c>
      <c r="E9" s="1">
        <v>10</v>
      </c>
      <c r="F9" s="2" t="s">
        <v>11</v>
      </c>
      <c r="G9" s="1">
        <f t="shared" ref="G9:H10" si="1">K4</f>
        <v>5</v>
      </c>
      <c r="H9" s="1">
        <f t="shared" si="1"/>
        <v>6</v>
      </c>
      <c r="I9" s="1">
        <v>0</v>
      </c>
      <c r="J9" s="1">
        <v>0</v>
      </c>
      <c r="L9" s="1" t="str">
        <f t="shared" ref="L9:L10" si="2">E4</f>
        <v>x_11</v>
      </c>
      <c r="Q9" s="1">
        <f t="shared" ref="Q9:Q10" si="3">Q4</f>
        <v>7</v>
      </c>
    </row>
    <row r="10" spans="1:18" x14ac:dyDescent="0.3">
      <c r="B10" s="1">
        <v>9</v>
      </c>
      <c r="C10" s="1">
        <v>12</v>
      </c>
      <c r="D10" s="1">
        <v>15</v>
      </c>
      <c r="E10" s="1">
        <v>20</v>
      </c>
      <c r="G10" s="1">
        <f t="shared" si="1"/>
        <v>7</v>
      </c>
      <c r="H10" s="1">
        <f t="shared" si="1"/>
        <v>8</v>
      </c>
      <c r="I10" s="1">
        <v>0</v>
      </c>
      <c r="J10" s="1">
        <v>0</v>
      </c>
      <c r="L10" s="1" t="str">
        <f t="shared" si="2"/>
        <v>x_21</v>
      </c>
      <c r="Q10" s="1">
        <f t="shared" si="3"/>
        <v>9</v>
      </c>
    </row>
    <row r="11" spans="1:18" x14ac:dyDescent="0.3">
      <c r="B11" s="1">
        <f t="array" ref="B11:C12">$B$4:$C$5 * $I$4</f>
        <v>4</v>
      </c>
      <c r="C11" s="1">
        <v>8</v>
      </c>
      <c r="D11" s="1">
        <f t="array" ref="D11:E12">$B$4:$C$5 * $I$5</f>
        <v>6</v>
      </c>
      <c r="E11" s="1">
        <v>12</v>
      </c>
      <c r="G11" s="1">
        <v>0</v>
      </c>
      <c r="H11" s="1">
        <v>0</v>
      </c>
      <c r="I11" s="1">
        <f t="shared" ref="I11:J12" si="4">K4</f>
        <v>5</v>
      </c>
      <c r="J11" s="1">
        <f t="shared" si="4"/>
        <v>6</v>
      </c>
      <c r="L11" s="1" t="str">
        <f t="shared" ref="L11:L12" si="5">F4</f>
        <v>x_12</v>
      </c>
      <c r="Q11" s="1">
        <f t="shared" ref="Q11:Q12" si="6">R4</f>
        <v>8</v>
      </c>
    </row>
    <row r="12" spans="1:18" x14ac:dyDescent="0.3">
      <c r="B12" s="1">
        <v>12</v>
      </c>
      <c r="C12" s="1">
        <v>16</v>
      </c>
      <c r="D12" s="1">
        <v>18</v>
      </c>
      <c r="E12" s="1">
        <v>24</v>
      </c>
      <c r="G12" s="1">
        <v>0</v>
      </c>
      <c r="H12" s="1">
        <v>0</v>
      </c>
      <c r="I12" s="1">
        <f t="shared" si="4"/>
        <v>7</v>
      </c>
      <c r="J12" s="1">
        <f t="shared" si="4"/>
        <v>8</v>
      </c>
      <c r="L12" s="1" t="str">
        <f t="shared" si="5"/>
        <v>x_22</v>
      </c>
      <c r="Q12" s="1">
        <f t="shared" si="6"/>
        <v>10</v>
      </c>
    </row>
    <row r="15" spans="1:18" x14ac:dyDescent="0.3">
      <c r="G15" s="1">
        <f t="array" ref="G15:J18">B9:E12 + G9:J12</f>
        <v>8</v>
      </c>
      <c r="H15" s="1">
        <v>12</v>
      </c>
      <c r="I15" s="1">
        <v>5</v>
      </c>
      <c r="J15" s="1">
        <v>10</v>
      </c>
      <c r="R15" t="s">
        <v>13</v>
      </c>
    </row>
    <row r="16" spans="1:18" x14ac:dyDescent="0.3">
      <c r="G16" s="1">
        <v>16</v>
      </c>
      <c r="H16" s="1">
        <v>20</v>
      </c>
      <c r="I16" s="1">
        <v>15</v>
      </c>
      <c r="J16" s="1">
        <v>20</v>
      </c>
    </row>
    <row r="17" spans="2:18" x14ac:dyDescent="0.3">
      <c r="G17" s="1">
        <v>4</v>
      </c>
      <c r="H17" s="1">
        <v>8</v>
      </c>
      <c r="I17" s="1">
        <v>11</v>
      </c>
      <c r="J17" s="1">
        <v>18</v>
      </c>
    </row>
    <row r="18" spans="2:18" x14ac:dyDescent="0.3">
      <c r="G18" s="1">
        <v>12</v>
      </c>
      <c r="H18" s="1">
        <v>16</v>
      </c>
      <c r="I18" s="1">
        <v>25</v>
      </c>
      <c r="J18" s="1">
        <v>32</v>
      </c>
    </row>
    <row r="21" spans="2:18" x14ac:dyDescent="0.3">
      <c r="L21" s="1" t="str">
        <f t="shared" ref="L21:L24" si="7">L9</f>
        <v>x_11</v>
      </c>
      <c r="M21" s="2" t="s">
        <v>12</v>
      </c>
      <c r="N21" s="1">
        <f t="array" ref="N21:N24">MMULT(  MINVERSE(G15:J18),Q9:Q12)</f>
        <v>0.25000000000001066</v>
      </c>
    </row>
    <row r="22" spans="2:18" x14ac:dyDescent="0.3">
      <c r="L22" s="1" t="str">
        <f t="shared" si="7"/>
        <v>x_21</v>
      </c>
      <c r="N22" s="1">
        <v>-7.1054273576010019E-15</v>
      </c>
    </row>
    <row r="23" spans="2:18" x14ac:dyDescent="0.3">
      <c r="L23" s="1" t="str">
        <f t="shared" si="7"/>
        <v>x_12</v>
      </c>
      <c r="N23" s="1">
        <v>-1</v>
      </c>
    </row>
    <row r="24" spans="2:18" x14ac:dyDescent="0.3">
      <c r="L24" s="1" t="str">
        <f t="shared" si="7"/>
        <v>x_22</v>
      </c>
      <c r="N24" s="1">
        <v>1</v>
      </c>
    </row>
    <row r="27" spans="2:18" x14ac:dyDescent="0.3">
      <c r="B27" s="1">
        <v>1</v>
      </c>
      <c r="C27" s="1">
        <v>2</v>
      </c>
      <c r="E27" s="1">
        <f t="shared" ref="E27:E28" si="8">N21</f>
        <v>0.25000000000001066</v>
      </c>
      <c r="F27" s="1">
        <f t="shared" ref="F27:F28" si="9">N23</f>
        <v>-1</v>
      </c>
      <c r="H27" s="1">
        <v>3</v>
      </c>
      <c r="I27" s="1">
        <v>4</v>
      </c>
      <c r="J27" t="s">
        <v>11</v>
      </c>
      <c r="K27" s="1">
        <v>5</v>
      </c>
      <c r="L27" s="1">
        <v>6</v>
      </c>
      <c r="N27" s="1">
        <f t="shared" ref="N27:N28" si="10">E27</f>
        <v>0.25000000000001066</v>
      </c>
      <c r="O27" s="1">
        <f t="shared" ref="O27:O28" si="11">F27</f>
        <v>-1</v>
      </c>
      <c r="P27" t="s">
        <v>12</v>
      </c>
      <c r="Q27" s="1">
        <v>7</v>
      </c>
      <c r="R27" s="1">
        <v>8</v>
      </c>
    </row>
    <row r="28" spans="2:18" x14ac:dyDescent="0.3">
      <c r="B28" s="1">
        <v>3</v>
      </c>
      <c r="C28" s="1">
        <v>4</v>
      </c>
      <c r="E28" s="1">
        <f t="shared" si="8"/>
        <v>-7.1054273576010019E-15</v>
      </c>
      <c r="F28" s="1">
        <f t="shared" si="9"/>
        <v>1</v>
      </c>
      <c r="H28" s="1">
        <v>5</v>
      </c>
      <c r="I28" s="1">
        <v>6</v>
      </c>
      <c r="K28" s="1">
        <v>7</v>
      </c>
      <c r="L28" s="1">
        <v>8</v>
      </c>
      <c r="N28" s="1">
        <f t="shared" si="10"/>
        <v>-7.1054273576010019E-15</v>
      </c>
      <c r="O28" s="1">
        <f t="shared" si="11"/>
        <v>1</v>
      </c>
      <c r="Q28" s="1">
        <v>9</v>
      </c>
      <c r="R28" s="1">
        <v>10</v>
      </c>
    </row>
    <row r="31" spans="2:18" x14ac:dyDescent="0.3">
      <c r="H31">
        <f t="array" ref="H31:I32">MMULT(B27:C28, MMULT(E27:F28,H27:I28)) + MMULT(K27:L28,N27:O28)</f>
        <v>7</v>
      </c>
      <c r="I31">
        <v>7.9999999999999858</v>
      </c>
    </row>
    <row r="32" spans="2:18" x14ac:dyDescent="0.3">
      <c r="H32">
        <v>9.0000000000000284</v>
      </c>
      <c r="I32">
        <v>10.000000000000014</v>
      </c>
    </row>
    <row r="33" spans="5:5" x14ac:dyDescent="0.3">
      <c r="E33">
        <f>E27*F28 - F27*E28</f>
        <v>0.25000000000000355</v>
      </c>
    </row>
    <row r="34" spans="5:5" x14ac:dyDescent="0.3">
      <c r="E34">
        <f>MDETERM(E27:F28)</f>
        <v>0.25000000000000355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1"/>
  <sheetViews>
    <sheetView workbookViewId="0">
      <selection activeCell="L15" sqref="L15"/>
    </sheetView>
  </sheetViews>
  <sheetFormatPr defaultRowHeight="14.4" x14ac:dyDescent="0.3"/>
  <cols>
    <col min="2" max="16" width="5.77734375" customWidth="1"/>
  </cols>
  <sheetData>
    <row r="1" spans="1:16" x14ac:dyDescent="0.3">
      <c r="A1" t="s">
        <v>19</v>
      </c>
    </row>
    <row r="2" spans="1:16" x14ac:dyDescent="0.3">
      <c r="B2" t="s">
        <v>0</v>
      </c>
      <c r="C2" t="s">
        <v>14</v>
      </c>
      <c r="D2" t="s">
        <v>3</v>
      </c>
      <c r="E2" t="s">
        <v>14</v>
      </c>
      <c r="F2" t="s">
        <v>15</v>
      </c>
      <c r="G2" t="s">
        <v>5</v>
      </c>
      <c r="H2" t="s">
        <v>16</v>
      </c>
      <c r="I2" t="s">
        <v>6</v>
      </c>
    </row>
    <row r="4" spans="1:16" x14ac:dyDescent="0.3">
      <c r="B4" s="1">
        <v>1</v>
      </c>
      <c r="C4" s="1">
        <v>2</v>
      </c>
      <c r="D4" t="s">
        <v>17</v>
      </c>
      <c r="E4" s="1" t="s">
        <v>7</v>
      </c>
      <c r="F4" s="1" t="s">
        <v>8</v>
      </c>
      <c r="G4" s="2" t="s">
        <v>3</v>
      </c>
      <c r="H4" s="1" t="str">
        <f t="shared" ref="H4:I5" si="0">E4</f>
        <v>x_11</v>
      </c>
      <c r="I4" s="1" t="str">
        <f t="shared" si="0"/>
        <v>x_12</v>
      </c>
      <c r="J4" s="2" t="s">
        <v>17</v>
      </c>
      <c r="K4" s="1">
        <f t="array" ref="K4:L5">TRANSPOSE(B4:C5)</f>
        <v>1</v>
      </c>
      <c r="L4" s="1">
        <v>3</v>
      </c>
      <c r="N4" s="2" t="s">
        <v>12</v>
      </c>
      <c r="O4" s="1">
        <v>7</v>
      </c>
      <c r="P4" s="1">
        <v>8</v>
      </c>
    </row>
    <row r="5" spans="1:16" x14ac:dyDescent="0.3">
      <c r="B5" s="1">
        <v>3</v>
      </c>
      <c r="C5" s="1">
        <v>4</v>
      </c>
      <c r="E5" s="1" t="s">
        <v>9</v>
      </c>
      <c r="F5" s="1" t="s">
        <v>10</v>
      </c>
      <c r="H5" s="1" t="str">
        <f t="shared" si="0"/>
        <v>x_21</v>
      </c>
      <c r="I5" s="1" t="str">
        <f t="shared" si="0"/>
        <v>x_22</v>
      </c>
      <c r="K5" s="1">
        <v>2</v>
      </c>
      <c r="L5" s="1">
        <v>4</v>
      </c>
      <c r="O5" s="1">
        <v>9</v>
      </c>
      <c r="P5" s="1">
        <v>10</v>
      </c>
    </row>
    <row r="7" spans="1:16" x14ac:dyDescent="0.3">
      <c r="B7">
        <f t="array" ref="B7:C8">MINVERSE(B4:C5)</f>
        <v>-1.9999999999999998</v>
      </c>
      <c r="C7">
        <v>0.99999999999999989</v>
      </c>
      <c r="O7">
        <f t="array" ref="O7:P8">MMULT(B7:C8,O4:P5)</f>
        <v>-5</v>
      </c>
      <c r="P7">
        <v>-6</v>
      </c>
    </row>
    <row r="8" spans="1:16" x14ac:dyDescent="0.3">
      <c r="B8">
        <v>1.4999999999999998</v>
      </c>
      <c r="C8">
        <v>-0.49999999999999989</v>
      </c>
      <c r="O8">
        <v>5.9999999999999991</v>
      </c>
      <c r="P8">
        <v>6.9999999999999991</v>
      </c>
    </row>
    <row r="10" spans="1:16" x14ac:dyDescent="0.3">
      <c r="B10">
        <v>1</v>
      </c>
      <c r="C10">
        <v>0</v>
      </c>
      <c r="D10">
        <v>0</v>
      </c>
      <c r="E10">
        <v>0</v>
      </c>
      <c r="F10" s="2" t="s">
        <v>3</v>
      </c>
      <c r="G10">
        <f t="array" ref="G10:H11">$B$4 * $B$7:$C$8</f>
        <v>-1.9999999999999998</v>
      </c>
      <c r="H10">
        <v>0.99999999999999989</v>
      </c>
      <c r="I10">
        <f t="array" ref="I10:J11">$C$4 * $B$7:$C$8</f>
        <v>-3.9999999999999996</v>
      </c>
      <c r="J10">
        <v>1.9999999999999998</v>
      </c>
      <c r="L10" t="str">
        <f>E4</f>
        <v>x_11</v>
      </c>
      <c r="N10" t="s">
        <v>5</v>
      </c>
      <c r="O10">
        <f>O7</f>
        <v>-5</v>
      </c>
    </row>
    <row r="11" spans="1:16" x14ac:dyDescent="0.3">
      <c r="B11">
        <v>0</v>
      </c>
      <c r="C11">
        <v>1</v>
      </c>
      <c r="D11">
        <v>0</v>
      </c>
      <c r="E11">
        <v>0</v>
      </c>
      <c r="G11">
        <v>1.4999999999999998</v>
      </c>
      <c r="H11">
        <v>-0.49999999999999989</v>
      </c>
      <c r="I11">
        <v>2.9999999999999996</v>
      </c>
      <c r="J11">
        <v>-0.99999999999999978</v>
      </c>
      <c r="L11" t="str">
        <f>E5</f>
        <v>x_21</v>
      </c>
      <c r="O11">
        <f>O8</f>
        <v>5.9999999999999991</v>
      </c>
    </row>
    <row r="12" spans="1:16" x14ac:dyDescent="0.3">
      <c r="B12">
        <v>0</v>
      </c>
      <c r="C12">
        <v>0</v>
      </c>
      <c r="D12">
        <v>1</v>
      </c>
      <c r="E12">
        <v>0</v>
      </c>
      <c r="G12">
        <f t="array" ref="G12:H13">$B$5 * $B$7:$C$8</f>
        <v>-5.9999999999999991</v>
      </c>
      <c r="H12">
        <v>2.9999999999999996</v>
      </c>
      <c r="I12">
        <f t="array" ref="I12:J13">$C$5 * $B$7:$C$8</f>
        <v>-7.9999999999999991</v>
      </c>
      <c r="J12">
        <v>3.9999999999999996</v>
      </c>
      <c r="L12" t="str">
        <f>I4</f>
        <v>x_12</v>
      </c>
      <c r="O12">
        <f>P7</f>
        <v>-6</v>
      </c>
    </row>
    <row r="13" spans="1:16" x14ac:dyDescent="0.3">
      <c r="B13">
        <v>0</v>
      </c>
      <c r="C13">
        <v>0</v>
      </c>
      <c r="D13">
        <v>0</v>
      </c>
      <c r="E13">
        <v>1</v>
      </c>
      <c r="G13">
        <v>4.4999999999999991</v>
      </c>
      <c r="H13">
        <v>-1.4999999999999996</v>
      </c>
      <c r="I13">
        <v>5.9999999999999991</v>
      </c>
      <c r="J13">
        <v>-1.9999999999999996</v>
      </c>
      <c r="L13" t="str">
        <f>I5</f>
        <v>x_22</v>
      </c>
      <c r="O13">
        <f>P8</f>
        <v>6.9999999999999991</v>
      </c>
    </row>
    <row r="15" spans="1:16" x14ac:dyDescent="0.3">
      <c r="G15">
        <f t="shared" ref="G15:J18" si="1">B10+G10</f>
        <v>-0.99999999999999978</v>
      </c>
      <c r="H15">
        <f t="shared" si="1"/>
        <v>0.99999999999999989</v>
      </c>
      <c r="I15">
        <f t="shared" si="1"/>
        <v>-3.9999999999999996</v>
      </c>
      <c r="J15">
        <f t="shared" si="1"/>
        <v>1.9999999999999998</v>
      </c>
      <c r="L15" t="str">
        <f t="shared" ref="L15:O18" si="2">L10</f>
        <v>x_11</v>
      </c>
      <c r="N15" t="str">
        <f t="shared" si="2"/>
        <v>=</v>
      </c>
      <c r="O15">
        <f t="shared" si="2"/>
        <v>-5</v>
      </c>
    </row>
    <row r="16" spans="1:16" x14ac:dyDescent="0.3">
      <c r="G16">
        <f t="shared" si="1"/>
        <v>1.4999999999999998</v>
      </c>
      <c r="H16">
        <f t="shared" si="1"/>
        <v>0.50000000000000011</v>
      </c>
      <c r="I16">
        <f t="shared" si="1"/>
        <v>2.9999999999999996</v>
      </c>
      <c r="J16">
        <f t="shared" si="1"/>
        <v>-0.99999999999999978</v>
      </c>
      <c r="L16" t="str">
        <f t="shared" si="2"/>
        <v>x_21</v>
      </c>
      <c r="O16">
        <f t="shared" si="2"/>
        <v>5.9999999999999991</v>
      </c>
    </row>
    <row r="17" spans="2:16" x14ac:dyDescent="0.3">
      <c r="G17">
        <f t="shared" si="1"/>
        <v>-5.9999999999999991</v>
      </c>
      <c r="H17">
        <f t="shared" si="1"/>
        <v>2.9999999999999996</v>
      </c>
      <c r="I17">
        <f t="shared" si="1"/>
        <v>-6.9999999999999991</v>
      </c>
      <c r="J17">
        <f t="shared" si="1"/>
        <v>3.9999999999999996</v>
      </c>
      <c r="L17" t="str">
        <f t="shared" si="2"/>
        <v>x_12</v>
      </c>
      <c r="O17">
        <f t="shared" si="2"/>
        <v>-6</v>
      </c>
    </row>
    <row r="18" spans="2:16" x14ac:dyDescent="0.3">
      <c r="G18">
        <f t="shared" si="1"/>
        <v>4.4999999999999991</v>
      </c>
      <c r="H18">
        <f t="shared" si="1"/>
        <v>-1.4999999999999996</v>
      </c>
      <c r="I18">
        <f t="shared" si="1"/>
        <v>5.9999999999999991</v>
      </c>
      <c r="J18">
        <f t="shared" si="1"/>
        <v>-0.99999999999999956</v>
      </c>
      <c r="L18" t="str">
        <f t="shared" si="2"/>
        <v>x_22</v>
      </c>
      <c r="O18">
        <f t="shared" si="2"/>
        <v>6.9999999999999991</v>
      </c>
    </row>
    <row r="21" spans="2:16" x14ac:dyDescent="0.3">
      <c r="L21" t="str">
        <f t="shared" ref="L21:N24" si="3">L15</f>
        <v>x_11</v>
      </c>
      <c r="N21" t="str">
        <f t="shared" si="3"/>
        <v>=</v>
      </c>
      <c r="O21">
        <f t="array" ref="O21:O24">MMULT(MINVERSE(G15:J18),O15:O18)</f>
        <v>-0.10000000000000013</v>
      </c>
    </row>
    <row r="22" spans="2:16" x14ac:dyDescent="0.3">
      <c r="L22" t="str">
        <f t="shared" si="3"/>
        <v>x_21</v>
      </c>
      <c r="O22">
        <v>1.9</v>
      </c>
    </row>
    <row r="23" spans="2:16" x14ac:dyDescent="0.3">
      <c r="L23" t="str">
        <f t="shared" si="3"/>
        <v>x_12</v>
      </c>
      <c r="O23">
        <v>1.7</v>
      </c>
    </row>
    <row r="24" spans="2:16" x14ac:dyDescent="0.3">
      <c r="L24" t="str">
        <f t="shared" si="3"/>
        <v>x_22</v>
      </c>
      <c r="O24">
        <v>-0.10000000000000009</v>
      </c>
    </row>
    <row r="26" spans="2:16" x14ac:dyDescent="0.3">
      <c r="B26" s="1">
        <v>1</v>
      </c>
      <c r="C26" s="1">
        <v>2</v>
      </c>
      <c r="E26" s="1">
        <f>O21</f>
        <v>-0.10000000000000013</v>
      </c>
      <c r="F26" s="1">
        <f>O23</f>
        <v>1.7</v>
      </c>
      <c r="G26" s="2" t="s">
        <v>3</v>
      </c>
      <c r="H26" s="1">
        <f t="shared" ref="H26:H27" si="4">E26</f>
        <v>-0.10000000000000013</v>
      </c>
      <c r="I26" s="1">
        <f t="shared" ref="I26:I27" si="5">F26</f>
        <v>1.7</v>
      </c>
      <c r="J26" s="2"/>
      <c r="K26" s="1">
        <f t="array" ref="K26:L27">TRANSPOSE(B26:C27)</f>
        <v>1</v>
      </c>
      <c r="L26" s="1">
        <v>3</v>
      </c>
      <c r="N26" s="2" t="s">
        <v>12</v>
      </c>
      <c r="O26" s="1">
        <v>7</v>
      </c>
      <c r="P26" s="1">
        <v>8</v>
      </c>
    </row>
    <row r="27" spans="2:16" x14ac:dyDescent="0.3">
      <c r="B27" s="1">
        <v>3</v>
      </c>
      <c r="C27" s="1">
        <v>4</v>
      </c>
      <c r="E27" s="1">
        <f>O22</f>
        <v>1.9</v>
      </c>
      <c r="F27" s="1">
        <f>O24</f>
        <v>-0.10000000000000009</v>
      </c>
      <c r="H27" s="1">
        <f t="shared" si="4"/>
        <v>1.9</v>
      </c>
      <c r="I27" s="1">
        <f t="shared" si="5"/>
        <v>-0.10000000000000009</v>
      </c>
      <c r="K27" s="1">
        <v>2</v>
      </c>
      <c r="L27" s="1">
        <v>4</v>
      </c>
      <c r="O27" s="1">
        <v>9</v>
      </c>
      <c r="P27" s="1">
        <v>10</v>
      </c>
    </row>
    <row r="29" spans="2:16" x14ac:dyDescent="0.3">
      <c r="N29" t="s">
        <v>5</v>
      </c>
      <c r="O29">
        <f t="array" ref="O29:P30">MMULT(B26:C27,E26:F27)+MMULT(H26:I27,K26:L27)</f>
        <v>7</v>
      </c>
      <c r="P29">
        <v>7.9999999999999991</v>
      </c>
    </row>
    <row r="30" spans="2:16" x14ac:dyDescent="0.3">
      <c r="O30">
        <v>8.9999999999999982</v>
      </c>
      <c r="P30">
        <v>9.9999999999999982</v>
      </c>
    </row>
    <row r="31" spans="2:16" x14ac:dyDescent="0.3">
      <c r="E31">
        <f t="array" ref="E31">MDETERM(E26:F27)</f>
        <v>-3.2199999999999998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7"/>
  <sheetViews>
    <sheetView topLeftCell="A19" workbookViewId="0">
      <selection activeCell="L4" sqref="L4"/>
    </sheetView>
  </sheetViews>
  <sheetFormatPr defaultRowHeight="14.4" x14ac:dyDescent="0.3"/>
  <cols>
    <col min="2" max="14" width="5.5546875" customWidth="1"/>
    <col min="15" max="15" width="8.21875" bestFit="1" customWidth="1"/>
    <col min="16" max="16" width="5.5546875" customWidth="1"/>
  </cols>
  <sheetData>
    <row r="1" spans="1:16" x14ac:dyDescent="0.3">
      <c r="A1" t="s">
        <v>20</v>
      </c>
    </row>
    <row r="3" spans="1:16" x14ac:dyDescent="0.3">
      <c r="B3" s="69" t="s">
        <v>0</v>
      </c>
      <c r="C3" s="69"/>
      <c r="D3" s="2" t="s">
        <v>17</v>
      </c>
      <c r="E3" s="69" t="s">
        <v>65</v>
      </c>
      <c r="F3" s="69"/>
      <c r="G3" s="2" t="s">
        <v>3</v>
      </c>
      <c r="H3" s="69" t="s">
        <v>65</v>
      </c>
      <c r="I3" s="69"/>
      <c r="J3" s="2" t="s">
        <v>17</v>
      </c>
      <c r="K3" s="69" t="s">
        <v>15</v>
      </c>
      <c r="L3" s="69"/>
      <c r="N3" s="2" t="s">
        <v>5</v>
      </c>
      <c r="O3" s="69" t="s">
        <v>71</v>
      </c>
      <c r="P3" s="69"/>
    </row>
    <row r="4" spans="1:16" x14ac:dyDescent="0.3">
      <c r="B4" s="1">
        <v>1</v>
      </c>
      <c r="C4" s="1">
        <v>2</v>
      </c>
      <c r="D4" t="s">
        <v>17</v>
      </c>
      <c r="E4" s="1" t="s">
        <v>7</v>
      </c>
      <c r="F4" s="1" t="s">
        <v>8</v>
      </c>
      <c r="G4" s="2" t="s">
        <v>3</v>
      </c>
      <c r="H4" s="1" t="str">
        <f t="shared" ref="H4:I5" si="0">E4</f>
        <v>x_11</v>
      </c>
      <c r="I4" s="1" t="str">
        <f t="shared" si="0"/>
        <v>x_12</v>
      </c>
      <c r="J4" s="2" t="s">
        <v>17</v>
      </c>
      <c r="K4" s="1">
        <f t="array" ref="K4:L5">TRANSPOSE(B4:C5)</f>
        <v>1</v>
      </c>
      <c r="L4" s="1">
        <v>3</v>
      </c>
      <c r="N4" s="2" t="s">
        <v>12</v>
      </c>
      <c r="O4" s="1">
        <v>7</v>
      </c>
      <c r="P4" s="1">
        <v>8</v>
      </c>
    </row>
    <row r="5" spans="1:16" x14ac:dyDescent="0.3">
      <c r="B5" s="1">
        <v>3</v>
      </c>
      <c r="C5" s="1">
        <v>4</v>
      </c>
      <c r="E5" s="1" t="s">
        <v>9</v>
      </c>
      <c r="F5" s="1" t="s">
        <v>10</v>
      </c>
      <c r="H5" s="1" t="str">
        <f t="shared" si="0"/>
        <v>x_21</v>
      </c>
      <c r="I5" s="1" t="str">
        <f t="shared" si="0"/>
        <v>x_22</v>
      </c>
      <c r="K5" s="1">
        <v>2</v>
      </c>
      <c r="L5" s="1">
        <v>4</v>
      </c>
      <c r="O5" s="1">
        <v>9</v>
      </c>
      <c r="P5" s="1">
        <v>10</v>
      </c>
    </row>
    <row r="7" spans="1:16" x14ac:dyDescent="0.3">
      <c r="A7" s="6" t="s">
        <v>76</v>
      </c>
      <c r="B7">
        <v>1</v>
      </c>
      <c r="C7">
        <v>0</v>
      </c>
    </row>
    <row r="8" spans="1:16" x14ac:dyDescent="0.3">
      <c r="B8">
        <v>0</v>
      </c>
      <c r="C8">
        <v>1</v>
      </c>
    </row>
    <row r="10" spans="1:16" x14ac:dyDescent="0.3">
      <c r="B10" s="69" t="s">
        <v>74</v>
      </c>
      <c r="C10" s="69"/>
      <c r="D10" s="69"/>
      <c r="E10" s="69"/>
      <c r="F10" s="2" t="s">
        <v>3</v>
      </c>
      <c r="G10" s="69" t="s">
        <v>73</v>
      </c>
      <c r="H10" s="69"/>
      <c r="I10" s="69"/>
      <c r="J10" s="69"/>
      <c r="L10" t="s">
        <v>68</v>
      </c>
      <c r="O10" s="2" t="s">
        <v>69</v>
      </c>
    </row>
    <row r="11" spans="1:16" x14ac:dyDescent="0.3">
      <c r="B11" s="1">
        <f>B4</f>
        <v>1</v>
      </c>
      <c r="C11" s="1">
        <f>C4</f>
        <v>2</v>
      </c>
      <c r="D11" s="1">
        <v>0</v>
      </c>
      <c r="E11" s="1">
        <v>0</v>
      </c>
      <c r="F11" s="2" t="s">
        <v>3</v>
      </c>
      <c r="G11" s="1">
        <f t="shared" ref="G11" si="1">B4</f>
        <v>1</v>
      </c>
      <c r="H11" s="1">
        <v>0</v>
      </c>
      <c r="I11" s="1">
        <f>C4</f>
        <v>2</v>
      </c>
      <c r="J11" s="1">
        <v>0</v>
      </c>
      <c r="L11" s="3" t="str">
        <f>E4</f>
        <v>x_11</v>
      </c>
      <c r="N11" t="s">
        <v>5</v>
      </c>
      <c r="O11" s="1">
        <f>O4</f>
        <v>7</v>
      </c>
    </row>
    <row r="12" spans="1:16" x14ac:dyDescent="0.3">
      <c r="B12" s="1">
        <f>B5</f>
        <v>3</v>
      </c>
      <c r="C12" s="1">
        <f>C5</f>
        <v>4</v>
      </c>
      <c r="D12" s="1">
        <v>0</v>
      </c>
      <c r="E12" s="1">
        <v>0</v>
      </c>
      <c r="G12" s="1">
        <v>0</v>
      </c>
      <c r="H12" s="1">
        <f>$B$4</f>
        <v>1</v>
      </c>
      <c r="I12" s="1">
        <v>0</v>
      </c>
      <c r="J12" s="1">
        <f>$C$4</f>
        <v>2</v>
      </c>
      <c r="L12" s="3" t="str">
        <f>E5</f>
        <v>x_21</v>
      </c>
      <c r="O12" s="1">
        <f>O5</f>
        <v>9</v>
      </c>
    </row>
    <row r="13" spans="1:16" x14ac:dyDescent="0.3">
      <c r="B13" s="1">
        <v>0</v>
      </c>
      <c r="C13" s="1">
        <v>0</v>
      </c>
      <c r="D13" s="1">
        <f>B4</f>
        <v>1</v>
      </c>
      <c r="E13" s="1">
        <f>C4</f>
        <v>2</v>
      </c>
      <c r="G13" s="1">
        <f>B5</f>
        <v>3</v>
      </c>
      <c r="H13" s="1">
        <v>0</v>
      </c>
      <c r="I13" s="1">
        <f>C5</f>
        <v>4</v>
      </c>
      <c r="J13" s="1">
        <v>0</v>
      </c>
      <c r="L13" s="3" t="str">
        <f>F4</f>
        <v>x_12</v>
      </c>
      <c r="O13" s="1">
        <f>P4</f>
        <v>8</v>
      </c>
    </row>
    <row r="14" spans="1:16" x14ac:dyDescent="0.3">
      <c r="B14" s="1">
        <v>0</v>
      </c>
      <c r="C14" s="1">
        <v>0</v>
      </c>
      <c r="D14" s="1">
        <f>B5</f>
        <v>3</v>
      </c>
      <c r="E14" s="1">
        <f>C5</f>
        <v>4</v>
      </c>
      <c r="G14" s="1">
        <v>0</v>
      </c>
      <c r="H14" s="1">
        <f>$B$5</f>
        <v>3</v>
      </c>
      <c r="I14" s="1">
        <v>0</v>
      </c>
      <c r="J14" s="1">
        <f>$C$5</f>
        <v>4</v>
      </c>
      <c r="L14" s="3" t="str">
        <f>F5</f>
        <v>x_22</v>
      </c>
      <c r="O14" s="1">
        <f>P5</f>
        <v>10</v>
      </c>
    </row>
    <row r="16" spans="1:16" x14ac:dyDescent="0.3">
      <c r="G16" s="1">
        <f t="array" ref="G16:J19">B11:E14+G11:J14</f>
        <v>2</v>
      </c>
      <c r="H16" s="1">
        <v>2</v>
      </c>
      <c r="I16" s="1">
        <v>2</v>
      </c>
      <c r="J16" s="1">
        <v>0</v>
      </c>
      <c r="L16" s="3" t="str">
        <f t="shared" ref="L16:N19" si="2">L11</f>
        <v>x_11</v>
      </c>
      <c r="N16" t="str">
        <f t="shared" si="2"/>
        <v>=</v>
      </c>
      <c r="O16" s="1">
        <f t="shared" ref="O16:O19" si="3">O11</f>
        <v>7</v>
      </c>
    </row>
    <row r="17" spans="7:16" x14ac:dyDescent="0.3">
      <c r="G17" s="1">
        <v>3</v>
      </c>
      <c r="H17" s="1">
        <v>5</v>
      </c>
      <c r="I17" s="1">
        <v>0</v>
      </c>
      <c r="J17" s="1">
        <v>2</v>
      </c>
      <c r="L17" s="3" t="str">
        <f t="shared" si="2"/>
        <v>x_21</v>
      </c>
      <c r="O17" s="1">
        <f t="shared" si="3"/>
        <v>9</v>
      </c>
    </row>
    <row r="18" spans="7:16" x14ac:dyDescent="0.3">
      <c r="G18" s="1">
        <v>3</v>
      </c>
      <c r="H18" s="1">
        <v>0</v>
      </c>
      <c r="I18" s="1">
        <v>5</v>
      </c>
      <c r="J18" s="1">
        <v>2</v>
      </c>
      <c r="L18" s="3" t="str">
        <f t="shared" si="2"/>
        <v>x_12</v>
      </c>
      <c r="O18" s="1">
        <f t="shared" si="3"/>
        <v>8</v>
      </c>
    </row>
    <row r="19" spans="7:16" x14ac:dyDescent="0.3">
      <c r="G19" s="1">
        <v>0</v>
      </c>
      <c r="H19" s="1">
        <v>3</v>
      </c>
      <c r="I19" s="1">
        <v>3</v>
      </c>
      <c r="J19" s="1">
        <v>8</v>
      </c>
      <c r="L19" s="3" t="str">
        <f t="shared" si="2"/>
        <v>x_22</v>
      </c>
      <c r="O19" s="1">
        <f t="shared" si="3"/>
        <v>10</v>
      </c>
    </row>
    <row r="21" spans="7:16" x14ac:dyDescent="0.3">
      <c r="L21" s="3" t="str">
        <f t="shared" ref="L21" si="4">L16</f>
        <v>x_11</v>
      </c>
      <c r="N21" t="str">
        <f t="shared" ref="N21" si="5">N16</f>
        <v>=</v>
      </c>
      <c r="O21" s="5">
        <f t="array" ref="O21:O24">MMULT(MINVERSE(G16:J19),O16:O19)</f>
        <v>-0.10000000000000053</v>
      </c>
    </row>
    <row r="22" spans="7:16" x14ac:dyDescent="0.3">
      <c r="L22" s="3" t="str">
        <f t="shared" ref="L22" si="6">L17</f>
        <v>x_21</v>
      </c>
      <c r="O22" s="4">
        <v>1.9000000000000001</v>
      </c>
    </row>
    <row r="23" spans="7:16" x14ac:dyDescent="0.3">
      <c r="L23" s="3" t="str">
        <f t="shared" ref="L23" si="7">L18</f>
        <v>x_12</v>
      </c>
      <c r="O23" s="4">
        <v>1.7000000000000002</v>
      </c>
    </row>
    <row r="24" spans="7:16" x14ac:dyDescent="0.3">
      <c r="L24" s="3" t="str">
        <f t="shared" ref="L24" si="8">L19</f>
        <v>x_22</v>
      </c>
      <c r="O24" s="4">
        <v>-9.9999999999999423E-2</v>
      </c>
    </row>
    <row r="26" spans="7:16" x14ac:dyDescent="0.3">
      <c r="K26" t="s">
        <v>70</v>
      </c>
      <c r="L26" s="3" t="str">
        <f>L21</f>
        <v>x_11</v>
      </c>
      <c r="M26" s="3" t="str">
        <f>L23</f>
        <v>x_12</v>
      </c>
      <c r="N26" t="str">
        <f t="shared" ref="N26" si="9">N21</f>
        <v>=</v>
      </c>
      <c r="O26" s="4">
        <f>O21</f>
        <v>-0.10000000000000053</v>
      </c>
      <c r="P26" s="4">
        <f>O23</f>
        <v>1.7000000000000002</v>
      </c>
    </row>
    <row r="27" spans="7:16" x14ac:dyDescent="0.3">
      <c r="L27" s="3" t="str">
        <f>L22</f>
        <v>x_21</v>
      </c>
      <c r="M27" s="3" t="str">
        <f>L24</f>
        <v>x_22</v>
      </c>
      <c r="O27" s="4">
        <f>O22</f>
        <v>1.9000000000000001</v>
      </c>
      <c r="P27" s="4">
        <f>O24</f>
        <v>-9.9999999999999423E-2</v>
      </c>
    </row>
  </sheetData>
  <mergeCells count="7">
    <mergeCell ref="K3:L3"/>
    <mergeCell ref="O3:P3"/>
    <mergeCell ref="B10:E10"/>
    <mergeCell ref="G10:J10"/>
    <mergeCell ref="B3:C3"/>
    <mergeCell ref="E3:F3"/>
    <mergeCell ref="H3:I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H62"/>
  <sheetViews>
    <sheetView workbookViewId="0">
      <selection activeCell="C5" sqref="C5"/>
    </sheetView>
  </sheetViews>
  <sheetFormatPr defaultRowHeight="14.4" x14ac:dyDescent="0.3"/>
  <cols>
    <col min="2" max="2" width="9.6640625" customWidth="1"/>
    <col min="3" max="7" width="4.88671875" customWidth="1"/>
    <col min="8" max="8" width="8.109375" customWidth="1"/>
    <col min="9" max="12" width="4.88671875" customWidth="1"/>
    <col min="13" max="13" width="5.6640625" customWidth="1"/>
    <col min="14" max="15" width="4.88671875" customWidth="1"/>
    <col min="16" max="16" width="11.44140625" customWidth="1"/>
    <col min="17" max="17" width="5.21875" customWidth="1"/>
    <col min="23" max="24" width="12.6640625" bestFit="1" customWidth="1"/>
    <col min="26" max="27" width="12" bestFit="1" customWidth="1"/>
  </cols>
  <sheetData>
    <row r="2" spans="1:10" x14ac:dyDescent="0.3">
      <c r="B2" s="14" t="s">
        <v>21</v>
      </c>
      <c r="C2" s="27">
        <v>1</v>
      </c>
      <c r="I2" s="24" t="s">
        <v>64</v>
      </c>
      <c r="J2" s="28">
        <f t="array" ref="J2">MDETERM(P50:Q51)</f>
        <v>4</v>
      </c>
    </row>
    <row r="3" spans="1:10" x14ac:dyDescent="0.3">
      <c r="B3" s="14" t="s">
        <v>22</v>
      </c>
      <c r="C3" s="27">
        <v>0</v>
      </c>
    </row>
    <row r="4" spans="1:10" x14ac:dyDescent="0.3">
      <c r="B4" s="14" t="s">
        <v>23</v>
      </c>
      <c r="C4" s="27">
        <v>1</v>
      </c>
    </row>
    <row r="6" spans="1:10" x14ac:dyDescent="0.3">
      <c r="B6" s="14" t="s">
        <v>24</v>
      </c>
      <c r="C6" s="34">
        <f>C2</f>
        <v>1</v>
      </c>
      <c r="D6" s="34">
        <f>G6</f>
        <v>0</v>
      </c>
      <c r="F6" s="35" t="s">
        <v>21</v>
      </c>
      <c r="G6" s="35">
        <v>0</v>
      </c>
    </row>
    <row r="7" spans="1:10" x14ac:dyDescent="0.3">
      <c r="C7" s="34">
        <f>C3</f>
        <v>0</v>
      </c>
      <c r="D7" s="34">
        <f>C4</f>
        <v>1</v>
      </c>
      <c r="F7" s="35" t="s">
        <v>22</v>
      </c>
      <c r="G7" s="35" t="s">
        <v>23</v>
      </c>
    </row>
    <row r="9" spans="1:10" x14ac:dyDescent="0.3">
      <c r="B9" s="14" t="s">
        <v>25</v>
      </c>
      <c r="C9" s="34">
        <f t="array" ref="C9:D10">MMULT(C6:D7, TRANSPOSE(C6:D7))</f>
        <v>1</v>
      </c>
      <c r="D9" s="34">
        <v>0</v>
      </c>
      <c r="F9" t="s">
        <v>26</v>
      </c>
    </row>
    <row r="10" spans="1:10" x14ac:dyDescent="0.3">
      <c r="C10" s="34">
        <v>0</v>
      </c>
      <c r="D10" s="34">
        <v>1</v>
      </c>
    </row>
    <row r="12" spans="1:10" x14ac:dyDescent="0.3">
      <c r="B12" s="14" t="s">
        <v>28</v>
      </c>
      <c r="C12" s="34">
        <v>0</v>
      </c>
      <c r="D12" s="34">
        <v>1</v>
      </c>
    </row>
    <row r="13" spans="1:10" x14ac:dyDescent="0.3">
      <c r="C13" s="34">
        <v>-1</v>
      </c>
      <c r="D13" s="34">
        <v>0</v>
      </c>
    </row>
    <row r="15" spans="1:10" x14ac:dyDescent="0.3">
      <c r="A15" s="27">
        <v>-0.5</v>
      </c>
      <c r="B15" s="14" t="s">
        <v>27</v>
      </c>
      <c r="C15" s="34">
        <f>A15</f>
        <v>-0.5</v>
      </c>
      <c r="D15" s="34">
        <v>0</v>
      </c>
      <c r="E15" s="2" t="s">
        <v>3</v>
      </c>
      <c r="F15" s="34">
        <f t="array" ref="F15:G16">MMULT(Symplectic, Hamiltonian)</f>
        <v>0</v>
      </c>
      <c r="G15" s="34">
        <v>1</v>
      </c>
      <c r="H15" s="2" t="s">
        <v>5</v>
      </c>
      <c r="I15" s="34">
        <f>C15+F15</f>
        <v>-0.5</v>
      </c>
      <c r="J15" s="34">
        <f>D15+G15</f>
        <v>1</v>
      </c>
    </row>
    <row r="16" spans="1:10" x14ac:dyDescent="0.3">
      <c r="C16" s="34">
        <v>0</v>
      </c>
      <c r="D16" s="34">
        <f>C15</f>
        <v>-0.5</v>
      </c>
      <c r="F16" s="34">
        <v>-1</v>
      </c>
      <c r="G16" s="34">
        <v>0</v>
      </c>
      <c r="I16" s="34">
        <f>C16+F16</f>
        <v>-1</v>
      </c>
      <c r="J16" s="34">
        <f>D16+G16</f>
        <v>-0.5</v>
      </c>
    </row>
    <row r="19" spans="1:17" x14ac:dyDescent="0.3">
      <c r="A19" s="27">
        <v>2</v>
      </c>
      <c r="B19" s="14" t="s">
        <v>6</v>
      </c>
      <c r="C19" s="34">
        <f>A19</f>
        <v>2</v>
      </c>
      <c r="D19" s="34">
        <v>0</v>
      </c>
      <c r="F19" t="s">
        <v>77</v>
      </c>
    </row>
    <row r="20" spans="1:17" x14ac:dyDescent="0.3">
      <c r="C20" s="34">
        <v>0</v>
      </c>
      <c r="D20" s="34">
        <f>C19</f>
        <v>2</v>
      </c>
    </row>
    <row r="22" spans="1:17" x14ac:dyDescent="0.3">
      <c r="B22" s="14" t="s">
        <v>72</v>
      </c>
      <c r="C22" s="34">
        <v>1</v>
      </c>
      <c r="D22" s="34">
        <v>0</v>
      </c>
    </row>
    <row r="23" spans="1:17" x14ac:dyDescent="0.3">
      <c r="C23" s="34">
        <v>0</v>
      </c>
      <c r="D23" s="34">
        <v>1</v>
      </c>
    </row>
    <row r="25" spans="1:17" x14ac:dyDescent="0.3">
      <c r="B25" s="24" t="s">
        <v>75</v>
      </c>
    </row>
    <row r="26" spans="1:17" x14ac:dyDescent="0.3">
      <c r="C26" s="2"/>
    </row>
    <row r="27" spans="1:17" x14ac:dyDescent="0.3">
      <c r="C27" s="69" t="s">
        <v>0</v>
      </c>
      <c r="D27" s="69"/>
      <c r="E27" s="2" t="s">
        <v>17</v>
      </c>
      <c r="F27" s="69" t="s">
        <v>65</v>
      </c>
      <c r="G27" s="69"/>
      <c r="H27" s="2" t="s">
        <v>3</v>
      </c>
      <c r="I27" s="69" t="s">
        <v>65</v>
      </c>
      <c r="J27" s="69"/>
      <c r="K27" s="2" t="s">
        <v>17</v>
      </c>
      <c r="L27" s="69" t="s">
        <v>15</v>
      </c>
      <c r="M27" s="69"/>
      <c r="O27" s="2" t="s">
        <v>5</v>
      </c>
      <c r="P27" s="69" t="s">
        <v>71</v>
      </c>
      <c r="Q27" s="69"/>
    </row>
    <row r="28" spans="1:17" x14ac:dyDescent="0.3">
      <c r="C28" s="1">
        <f t="shared" ref="C28:D29" si="0">I15</f>
        <v>-0.5</v>
      </c>
      <c r="D28" s="1">
        <f t="shared" si="0"/>
        <v>1</v>
      </c>
      <c r="E28" s="2" t="s">
        <v>17</v>
      </c>
      <c r="F28" s="1" t="s">
        <v>7</v>
      </c>
      <c r="G28" s="1" t="s">
        <v>8</v>
      </c>
      <c r="H28" s="2" t="s">
        <v>3</v>
      </c>
      <c r="I28" s="1" t="str">
        <f t="shared" ref="I28:J29" si="1">F28</f>
        <v>x_11</v>
      </c>
      <c r="J28" s="1" t="str">
        <f t="shared" si="1"/>
        <v>x_12</v>
      </c>
      <c r="K28" s="2" t="s">
        <v>17</v>
      </c>
      <c r="L28" s="1">
        <f t="array" ref="L28:M29">TRANSPOSE(C28:D29)</f>
        <v>-0.5</v>
      </c>
      <c r="M28" s="1">
        <v>-1</v>
      </c>
      <c r="O28" s="2" t="s">
        <v>12</v>
      </c>
      <c r="P28" s="1">
        <f t="array" ref="P28:Q29">-C19:D20</f>
        <v>-2</v>
      </c>
      <c r="Q28" s="1">
        <v>0</v>
      </c>
    </row>
    <row r="29" spans="1:17" x14ac:dyDescent="0.3">
      <c r="C29" s="1">
        <f t="shared" si="0"/>
        <v>-1</v>
      </c>
      <c r="D29" s="1">
        <f t="shared" si="0"/>
        <v>-0.5</v>
      </c>
      <c r="F29" s="1" t="s">
        <v>9</v>
      </c>
      <c r="G29" s="1" t="s">
        <v>10</v>
      </c>
      <c r="I29" s="1" t="str">
        <f t="shared" si="1"/>
        <v>x_21</v>
      </c>
      <c r="J29" s="1" t="str">
        <f t="shared" si="1"/>
        <v>x_22</v>
      </c>
      <c r="L29" s="1">
        <v>1</v>
      </c>
      <c r="M29" s="1">
        <v>-0.5</v>
      </c>
      <c r="P29" s="1">
        <v>0</v>
      </c>
      <c r="Q29" s="1">
        <v>-2</v>
      </c>
    </row>
    <row r="33" spans="3:16" x14ac:dyDescent="0.3">
      <c r="C33" s="69" t="s">
        <v>74</v>
      </c>
      <c r="D33" s="69"/>
      <c r="E33" s="69"/>
      <c r="F33" s="69"/>
      <c r="G33" s="2" t="s">
        <v>3</v>
      </c>
      <c r="H33" s="69" t="s">
        <v>73</v>
      </c>
      <c r="I33" s="69"/>
      <c r="J33" s="69"/>
      <c r="K33" s="69"/>
      <c r="M33" t="s">
        <v>68</v>
      </c>
      <c r="P33" s="2" t="s">
        <v>69</v>
      </c>
    </row>
    <row r="34" spans="3:16" x14ac:dyDescent="0.3">
      <c r="C34" s="1">
        <f t="array" ref="C34:F37">KroneckerProduct(C22:D23, C28:D29)</f>
        <v>-0.5</v>
      </c>
      <c r="D34" s="1">
        <v>1</v>
      </c>
      <c r="E34" s="1">
        <v>0</v>
      </c>
      <c r="F34" s="1">
        <v>0</v>
      </c>
      <c r="G34" s="2" t="s">
        <v>3</v>
      </c>
      <c r="H34" s="1">
        <f t="array" ref="H34:K37">KroneckerProduct(C28:D29,C22:D23)</f>
        <v>-0.5</v>
      </c>
      <c r="I34" s="1">
        <v>0</v>
      </c>
      <c r="J34" s="1">
        <v>1</v>
      </c>
      <c r="K34" s="1">
        <v>0</v>
      </c>
      <c r="M34" s="3" t="str">
        <f>F28</f>
        <v>x_11</v>
      </c>
      <c r="O34" t="s">
        <v>5</v>
      </c>
      <c r="P34" s="40">
        <f>P28</f>
        <v>-2</v>
      </c>
    </row>
    <row r="35" spans="3:16" x14ac:dyDescent="0.3">
      <c r="C35" s="1">
        <v>-1</v>
      </c>
      <c r="D35" s="1">
        <v>-0.5</v>
      </c>
      <c r="E35" s="1">
        <v>0</v>
      </c>
      <c r="F35" s="1">
        <v>0</v>
      </c>
      <c r="H35" s="1">
        <v>0</v>
      </c>
      <c r="I35" s="1">
        <v>-0.5</v>
      </c>
      <c r="J35" s="1">
        <v>0</v>
      </c>
      <c r="K35" s="1">
        <v>1</v>
      </c>
      <c r="M35" s="3" t="str">
        <f>F29</f>
        <v>x_21</v>
      </c>
      <c r="P35" s="40">
        <f>P29</f>
        <v>0</v>
      </c>
    </row>
    <row r="36" spans="3:16" x14ac:dyDescent="0.3">
      <c r="C36" s="1">
        <v>0</v>
      </c>
      <c r="D36" s="1">
        <v>0</v>
      </c>
      <c r="E36" s="1">
        <v>-0.5</v>
      </c>
      <c r="F36" s="1">
        <v>1</v>
      </c>
      <c r="H36" s="1">
        <v>-1</v>
      </c>
      <c r="I36" s="1">
        <v>0</v>
      </c>
      <c r="J36" s="1">
        <v>-0.5</v>
      </c>
      <c r="K36" s="1">
        <v>0</v>
      </c>
      <c r="M36" s="3" t="str">
        <f>G28</f>
        <v>x_12</v>
      </c>
      <c r="P36" s="40">
        <f>Q28</f>
        <v>0</v>
      </c>
    </row>
    <row r="37" spans="3:16" x14ac:dyDescent="0.3">
      <c r="C37" s="1">
        <v>0</v>
      </c>
      <c r="D37" s="1">
        <v>0</v>
      </c>
      <c r="E37" s="1">
        <v>-1</v>
      </c>
      <c r="F37" s="1">
        <v>-0.5</v>
      </c>
      <c r="H37" s="1">
        <v>0</v>
      </c>
      <c r="I37" s="1">
        <v>-1</v>
      </c>
      <c r="J37" s="1">
        <v>0</v>
      </c>
      <c r="K37" s="1">
        <v>-0.5</v>
      </c>
      <c r="M37" s="3" t="str">
        <f>G29</f>
        <v>x_22</v>
      </c>
      <c r="P37" s="40">
        <f>Q29</f>
        <v>-2</v>
      </c>
    </row>
    <row r="38" spans="3:16" x14ac:dyDescent="0.3">
      <c r="P38" s="19"/>
    </row>
    <row r="39" spans="3:16" x14ac:dyDescent="0.3">
      <c r="H39" s="1">
        <f t="array" ref="H39:K42">C34:F37+H34:K37</f>
        <v>-1</v>
      </c>
      <c r="I39" s="1">
        <v>1</v>
      </c>
      <c r="J39" s="1">
        <v>1</v>
      </c>
      <c r="K39" s="1">
        <v>0</v>
      </c>
      <c r="M39" s="3" t="str">
        <f t="shared" ref="M39:P42" si="2">M34</f>
        <v>x_11</v>
      </c>
      <c r="O39" t="str">
        <f t="shared" si="2"/>
        <v>=</v>
      </c>
      <c r="P39" s="40">
        <f t="shared" si="2"/>
        <v>-2</v>
      </c>
    </row>
    <row r="40" spans="3:16" x14ac:dyDescent="0.3">
      <c r="H40" s="1">
        <v>-1</v>
      </c>
      <c r="I40" s="1">
        <v>-1</v>
      </c>
      <c r="J40" s="1">
        <v>0</v>
      </c>
      <c r="K40" s="1">
        <v>1</v>
      </c>
      <c r="M40" s="3" t="str">
        <f t="shared" si="2"/>
        <v>x_21</v>
      </c>
      <c r="P40" s="40">
        <f t="shared" si="2"/>
        <v>0</v>
      </c>
    </row>
    <row r="41" spans="3:16" x14ac:dyDescent="0.3">
      <c r="H41" s="1">
        <v>-1</v>
      </c>
      <c r="I41" s="1">
        <v>0</v>
      </c>
      <c r="J41" s="1">
        <v>-1</v>
      </c>
      <c r="K41" s="1">
        <v>1</v>
      </c>
      <c r="M41" s="3" t="str">
        <f t="shared" si="2"/>
        <v>x_12</v>
      </c>
      <c r="P41" s="40">
        <f t="shared" si="2"/>
        <v>0</v>
      </c>
    </row>
    <row r="42" spans="3:16" x14ac:dyDescent="0.3">
      <c r="H42" s="1">
        <v>0</v>
      </c>
      <c r="I42" s="1">
        <v>-1</v>
      </c>
      <c r="J42" s="1">
        <v>-1</v>
      </c>
      <c r="K42" s="1">
        <v>-1</v>
      </c>
      <c r="M42" s="3" t="str">
        <f t="shared" si="2"/>
        <v>x_22</v>
      </c>
      <c r="P42" s="40">
        <f t="shared" si="2"/>
        <v>-2</v>
      </c>
    </row>
    <row r="44" spans="3:16" x14ac:dyDescent="0.3">
      <c r="M44" s="3" t="str">
        <f t="shared" ref="M44:M47" si="3">M39</f>
        <v>x_11</v>
      </c>
      <c r="O44" t="str">
        <f t="shared" ref="O44" si="4">O39</f>
        <v>=</v>
      </c>
      <c r="P44" s="5">
        <f t="array" ref="P44:P47">MMULT(MINVERSE(H39:K42),P39:P42)</f>
        <v>2</v>
      </c>
    </row>
    <row r="45" spans="3:16" x14ac:dyDescent="0.3">
      <c r="M45" s="3" t="str">
        <f t="shared" si="3"/>
        <v>x_21</v>
      </c>
      <c r="P45" s="5">
        <v>5.5511151231257827E-17</v>
      </c>
    </row>
    <row r="46" spans="3:16" x14ac:dyDescent="0.3">
      <c r="M46" s="3" t="str">
        <f t="shared" si="3"/>
        <v>x_12</v>
      </c>
      <c r="P46" s="5">
        <v>-1.1102230246251565E-16</v>
      </c>
    </row>
    <row r="47" spans="3:16" x14ac:dyDescent="0.3">
      <c r="M47" s="3" t="str">
        <f t="shared" si="3"/>
        <v>x_22</v>
      </c>
      <c r="P47" s="5">
        <v>2</v>
      </c>
    </row>
    <row r="49" spans="13:34" x14ac:dyDescent="0.3">
      <c r="T49" s="69" t="s">
        <v>0</v>
      </c>
      <c r="U49" s="69"/>
      <c r="V49" s="38" t="s">
        <v>17</v>
      </c>
      <c r="W49" s="69" t="s">
        <v>65</v>
      </c>
      <c r="X49" s="69"/>
      <c r="Y49" s="38" t="s">
        <v>3</v>
      </c>
      <c r="Z49" s="69" t="s">
        <v>65</v>
      </c>
      <c r="AA49" s="69"/>
      <c r="AB49" s="38" t="s">
        <v>17</v>
      </c>
      <c r="AC49" s="69" t="s">
        <v>15</v>
      </c>
      <c r="AD49" s="69"/>
      <c r="AF49" s="38" t="s">
        <v>5</v>
      </c>
      <c r="AG49" s="69" t="s">
        <v>71</v>
      </c>
      <c r="AH49" s="69"/>
    </row>
    <row r="50" spans="13:34" x14ac:dyDescent="0.3">
      <c r="M50" t="s">
        <v>65</v>
      </c>
      <c r="O50" t="s">
        <v>5</v>
      </c>
      <c r="P50" s="5">
        <f>P44</f>
        <v>2</v>
      </c>
      <c r="Q50" s="5">
        <f>P46</f>
        <v>-1.1102230246251565E-16</v>
      </c>
      <c r="T50" s="36">
        <f t="array" ref="T50:U51">I15:J16</f>
        <v>-0.5</v>
      </c>
      <c r="U50" s="36">
        <v>1</v>
      </c>
      <c r="W50" s="36">
        <f t="array" ref="W50:X51">P50:Q51</f>
        <v>2</v>
      </c>
      <c r="X50" s="36">
        <v>-1.1102230246251565E-16</v>
      </c>
      <c r="Z50" s="36">
        <f t="array" ref="Z50:AA51">W50:X51</f>
        <v>2</v>
      </c>
      <c r="AA50" s="36">
        <v>-1.1102230246251565E-16</v>
      </c>
      <c r="AC50" s="36">
        <f t="array" ref="AC50:AD51">TRANSPOSE(T50:U51)</f>
        <v>-0.5</v>
      </c>
      <c r="AD50" s="36">
        <v>-1</v>
      </c>
    </row>
    <row r="51" spans="13:34" x14ac:dyDescent="0.3">
      <c r="P51" s="5">
        <f>P45</f>
        <v>5.5511151231257827E-17</v>
      </c>
      <c r="Q51" s="5">
        <f>P47</f>
        <v>2</v>
      </c>
      <c r="T51" s="36">
        <v>-1</v>
      </c>
      <c r="U51" s="36">
        <v>-0.5</v>
      </c>
      <c r="W51" s="36">
        <v>5.5511151231257827E-17</v>
      </c>
      <c r="X51" s="36">
        <v>2</v>
      </c>
      <c r="Z51" s="36">
        <v>5.5511151231257827E-17</v>
      </c>
      <c r="AA51" s="36">
        <v>2</v>
      </c>
      <c r="AC51" s="36">
        <v>1</v>
      </c>
      <c r="AD51" s="36">
        <v>-0.5</v>
      </c>
    </row>
    <row r="53" spans="13:34" x14ac:dyDescent="0.3">
      <c r="T53" s="69" t="s">
        <v>80</v>
      </c>
      <c r="U53" s="69"/>
      <c r="Z53" s="69" t="s">
        <v>81</v>
      </c>
      <c r="AA53" s="69"/>
    </row>
    <row r="54" spans="13:34" x14ac:dyDescent="0.3">
      <c r="T54" s="36">
        <f t="array" ref="T54:U55">MMULT(T50:U51,W50:X51)</f>
        <v>-1</v>
      </c>
      <c r="U54" s="36">
        <v>2</v>
      </c>
      <c r="Z54" s="36">
        <f t="array" ref="Z54:AA55">MMULT(Z50:AA51,AC50:AD51)</f>
        <v>-1</v>
      </c>
      <c r="AA54" s="36">
        <v>-2</v>
      </c>
    </row>
    <row r="55" spans="13:34" x14ac:dyDescent="0.3">
      <c r="T55" s="36">
        <v>-2</v>
      </c>
      <c r="U55" s="36">
        <v>-0.99999999999999989</v>
      </c>
      <c r="Z55" s="36">
        <v>2</v>
      </c>
      <c r="AA55" s="36">
        <v>-1</v>
      </c>
    </row>
    <row r="57" spans="13:34" x14ac:dyDescent="0.3">
      <c r="T57" s="70" t="s">
        <v>66</v>
      </c>
      <c r="U57" s="69"/>
    </row>
    <row r="58" spans="13:34" x14ac:dyDescent="0.3">
      <c r="T58">
        <f t="array" ref="T58:U59">T54:U55+Z54:AA55</f>
        <v>-2</v>
      </c>
      <c r="U58">
        <v>0</v>
      </c>
    </row>
    <row r="59" spans="13:34" x14ac:dyDescent="0.3">
      <c r="T59">
        <v>0</v>
      </c>
      <c r="U59">
        <v>-2</v>
      </c>
    </row>
    <row r="61" spans="13:34" x14ac:dyDescent="0.3">
      <c r="T61" t="b">
        <f t="array" ref="T61:U62">ROUND(T58:U59,2)=-C19:D20</f>
        <v>1</v>
      </c>
      <c r="U61" t="b">
        <v>1</v>
      </c>
    </row>
    <row r="62" spans="13:34" x14ac:dyDescent="0.3">
      <c r="T62" t="b">
        <v>1</v>
      </c>
      <c r="U62" t="b">
        <v>1</v>
      </c>
    </row>
  </sheetData>
  <mergeCells count="15">
    <mergeCell ref="AC49:AD49"/>
    <mergeCell ref="AG49:AH49"/>
    <mergeCell ref="L27:M27"/>
    <mergeCell ref="P27:Q27"/>
    <mergeCell ref="C33:F33"/>
    <mergeCell ref="H33:K33"/>
    <mergeCell ref="C27:D27"/>
    <mergeCell ref="F27:G27"/>
    <mergeCell ref="I27:J27"/>
    <mergeCell ref="T53:U53"/>
    <mergeCell ref="Z53:AA53"/>
    <mergeCell ref="T57:U57"/>
    <mergeCell ref="T49:U49"/>
    <mergeCell ref="W49:X49"/>
    <mergeCell ref="Z49:AA4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109"/>
  <sheetViews>
    <sheetView zoomScale="110" zoomScaleNormal="110" workbookViewId="0">
      <selection activeCell="N4" sqref="N4"/>
    </sheetView>
  </sheetViews>
  <sheetFormatPr defaultRowHeight="14.4" x14ac:dyDescent="0.3"/>
  <cols>
    <col min="1" max="1" width="16.6640625" bestFit="1" customWidth="1"/>
    <col min="2" max="2" width="9.6640625" customWidth="1"/>
    <col min="3" max="3" width="7.77734375" customWidth="1"/>
    <col min="4" max="6" width="8.5546875" customWidth="1"/>
    <col min="7" max="7" width="13.33203125" bestFit="1" customWidth="1"/>
    <col min="8" max="11" width="7.77734375" customWidth="1"/>
    <col min="12" max="14" width="8" customWidth="1"/>
    <col min="15" max="18" width="8.109375" customWidth="1"/>
    <col min="19" max="22" width="8.5546875" customWidth="1"/>
    <col min="23" max="23" width="6.5546875" customWidth="1"/>
    <col min="24" max="24" width="5.88671875" customWidth="1"/>
    <col min="25" max="25" width="11" bestFit="1" customWidth="1"/>
    <col min="26" max="26" width="10.6640625" bestFit="1" customWidth="1"/>
    <col min="27" max="29" width="5.5546875" customWidth="1"/>
    <col min="30" max="30" width="11.5546875" bestFit="1" customWidth="1"/>
  </cols>
  <sheetData>
    <row r="1" spans="1:29" x14ac:dyDescent="0.3">
      <c r="A1" s="45">
        <f>($W$74)*1000000</f>
        <v>4000000</v>
      </c>
      <c r="I1" s="31"/>
      <c r="J1" s="31"/>
      <c r="K1" s="42"/>
      <c r="L1" s="42"/>
      <c r="M1" s="42"/>
      <c r="N1" s="42"/>
      <c r="O1" s="42"/>
      <c r="P1" s="42"/>
      <c r="Q1" s="42"/>
      <c r="R1" s="42"/>
    </row>
    <row r="2" spans="1:29" x14ac:dyDescent="0.3">
      <c r="C2" s="12" t="s">
        <v>43</v>
      </c>
      <c r="D2" s="13"/>
      <c r="E2" s="13"/>
      <c r="F2" s="13"/>
      <c r="G2" s="13"/>
      <c r="H2" s="13"/>
      <c r="I2" s="14" t="s">
        <v>29</v>
      </c>
      <c r="J2" s="14" t="s">
        <v>32</v>
      </c>
      <c r="K2" s="14" t="s">
        <v>31</v>
      </c>
      <c r="L2" s="14" t="s">
        <v>30</v>
      </c>
      <c r="M2" s="14" t="s">
        <v>33</v>
      </c>
      <c r="N2" s="14" t="s">
        <v>34</v>
      </c>
      <c r="O2" s="14" t="s">
        <v>35</v>
      </c>
      <c r="P2" s="14" t="s">
        <v>36</v>
      </c>
      <c r="Q2" s="14" t="s">
        <v>37</v>
      </c>
      <c r="R2" s="14" t="s">
        <v>38</v>
      </c>
    </row>
    <row r="3" spans="1:29" x14ac:dyDescent="0.3">
      <c r="B3" s="24" t="s">
        <v>63</v>
      </c>
      <c r="C3" s="23">
        <v>2</v>
      </c>
      <c r="D3" s="2"/>
      <c r="E3" s="2"/>
      <c r="F3" s="2"/>
      <c r="G3" s="2"/>
      <c r="H3" s="2"/>
      <c r="I3" s="23">
        <v>1</v>
      </c>
      <c r="J3" s="23">
        <v>0</v>
      </c>
      <c r="K3" s="23">
        <v>1</v>
      </c>
      <c r="L3" s="23">
        <v>0</v>
      </c>
      <c r="M3" s="23">
        <v>0</v>
      </c>
      <c r="N3" s="23">
        <v>1</v>
      </c>
      <c r="O3" s="23">
        <v>0</v>
      </c>
      <c r="P3" s="23">
        <v>0</v>
      </c>
      <c r="Q3" s="23">
        <v>0</v>
      </c>
      <c r="R3" s="23">
        <v>1</v>
      </c>
      <c r="V3" s="24" t="s">
        <v>64</v>
      </c>
      <c r="W3" s="41">
        <f t="array" ref="W3">MDETERM(W68:X69)</f>
        <v>4</v>
      </c>
      <c r="X3" s="30"/>
    </row>
    <row r="4" spans="1:29" x14ac:dyDescent="0.3">
      <c r="B4" s="6"/>
      <c r="P4" s="19"/>
    </row>
    <row r="5" spans="1:29" ht="16.2" x14ac:dyDescent="0.3">
      <c r="B5" s="6" t="s">
        <v>39</v>
      </c>
      <c r="C5" s="9" t="s">
        <v>29</v>
      </c>
      <c r="D5" s="8">
        <v>0</v>
      </c>
      <c r="E5" s="8">
        <v>0</v>
      </c>
      <c r="F5" s="8">
        <v>0</v>
      </c>
      <c r="G5" s="7" t="s">
        <v>5</v>
      </c>
      <c r="H5" s="9">
        <f>I3</f>
        <v>1</v>
      </c>
      <c r="I5" s="8">
        <v>0</v>
      </c>
      <c r="J5" s="8">
        <v>0</v>
      </c>
      <c r="K5" s="8">
        <v>0</v>
      </c>
      <c r="N5" s="6" t="s">
        <v>40</v>
      </c>
      <c r="O5" s="44">
        <f t="array" ref="O5:R8">MMULT(H5:K8, TRANSPOSE(H5:K8))</f>
        <v>1</v>
      </c>
      <c r="P5" s="17">
        <v>0</v>
      </c>
      <c r="Q5" s="17">
        <v>0</v>
      </c>
      <c r="R5" s="17">
        <v>0</v>
      </c>
      <c r="T5" t="s">
        <v>26</v>
      </c>
    </row>
    <row r="6" spans="1:29" x14ac:dyDescent="0.3">
      <c r="C6" s="9" t="s">
        <v>32</v>
      </c>
      <c r="D6" s="9" t="s">
        <v>31</v>
      </c>
      <c r="E6" s="8">
        <v>0</v>
      </c>
      <c r="F6" s="8">
        <v>0</v>
      </c>
      <c r="H6" s="9">
        <f>J3</f>
        <v>0</v>
      </c>
      <c r="I6" s="9">
        <f>K3</f>
        <v>1</v>
      </c>
      <c r="J6" s="8">
        <v>0</v>
      </c>
      <c r="K6" s="8">
        <v>0</v>
      </c>
      <c r="O6" s="17">
        <v>0</v>
      </c>
      <c r="P6" s="44">
        <v>1</v>
      </c>
      <c r="Q6" s="17">
        <v>0</v>
      </c>
      <c r="R6" s="17">
        <v>0</v>
      </c>
    </row>
    <row r="7" spans="1:29" x14ac:dyDescent="0.3">
      <c r="C7" s="9" t="s">
        <v>30</v>
      </c>
      <c r="D7" s="9" t="s">
        <v>33</v>
      </c>
      <c r="E7" s="9" t="s">
        <v>34</v>
      </c>
      <c r="F7" s="8">
        <v>0</v>
      </c>
      <c r="H7" s="9">
        <f>L3</f>
        <v>0</v>
      </c>
      <c r="I7" s="9">
        <f>M3</f>
        <v>0</v>
      </c>
      <c r="J7" s="9">
        <f>N3</f>
        <v>1</v>
      </c>
      <c r="K7" s="8">
        <v>0</v>
      </c>
      <c r="O7" s="17">
        <v>0</v>
      </c>
      <c r="P7" s="17">
        <v>0</v>
      </c>
      <c r="Q7" s="49">
        <v>1</v>
      </c>
      <c r="R7" s="43">
        <v>0</v>
      </c>
    </row>
    <row r="8" spans="1:29" x14ac:dyDescent="0.3">
      <c r="C8" s="9" t="s">
        <v>35</v>
      </c>
      <c r="D8" s="9" t="s">
        <v>36</v>
      </c>
      <c r="E8" s="9" t="s">
        <v>37</v>
      </c>
      <c r="F8" s="9" t="s">
        <v>38</v>
      </c>
      <c r="H8" s="9">
        <f>O3</f>
        <v>0</v>
      </c>
      <c r="I8" s="9">
        <f>P3</f>
        <v>0</v>
      </c>
      <c r="J8" s="9">
        <f>Q3</f>
        <v>0</v>
      </c>
      <c r="K8" s="9">
        <f>R3</f>
        <v>1</v>
      </c>
      <c r="O8" s="17">
        <v>0</v>
      </c>
      <c r="P8" s="17">
        <v>0</v>
      </c>
      <c r="Q8" s="43">
        <v>0</v>
      </c>
      <c r="R8" s="49">
        <v>1</v>
      </c>
    </row>
    <row r="9" spans="1:29" x14ac:dyDescent="0.3">
      <c r="Q9" s="48"/>
    </row>
    <row r="11" spans="1:29" x14ac:dyDescent="0.3">
      <c r="B11" s="6" t="s">
        <v>44</v>
      </c>
      <c r="C11" s="9">
        <f>Chi</f>
        <v>2</v>
      </c>
      <c r="D11" s="10">
        <v>0</v>
      </c>
      <c r="E11" s="10">
        <v>0</v>
      </c>
      <c r="F11" s="10">
        <v>0</v>
      </c>
      <c r="H11" s="56"/>
      <c r="I11" s="56"/>
      <c r="J11" s="56"/>
      <c r="K11" s="56"/>
      <c r="N11" s="6" t="s">
        <v>41</v>
      </c>
      <c r="O11" s="34">
        <v>0</v>
      </c>
      <c r="P11" s="34">
        <v>1</v>
      </c>
      <c r="Q11" s="8">
        <v>0</v>
      </c>
      <c r="R11" s="8">
        <v>0</v>
      </c>
      <c r="U11" s="9" t="s">
        <v>29</v>
      </c>
      <c r="V11" s="8">
        <v>0</v>
      </c>
      <c r="W11" s="8">
        <v>0</v>
      </c>
      <c r="X11" s="8">
        <v>0</v>
      </c>
      <c r="Z11" s="9" t="s">
        <v>29</v>
      </c>
      <c r="AA11" s="9" t="s">
        <v>32</v>
      </c>
      <c r="AB11" s="9" t="s">
        <v>30</v>
      </c>
      <c r="AC11" s="9" t="s">
        <v>35</v>
      </c>
    </row>
    <row r="12" spans="1:29" x14ac:dyDescent="0.3">
      <c r="C12" s="10">
        <v>0</v>
      </c>
      <c r="D12" s="9">
        <f>Chi</f>
        <v>2</v>
      </c>
      <c r="E12" s="10">
        <v>0</v>
      </c>
      <c r="F12" s="10">
        <v>0</v>
      </c>
      <c r="H12" s="56"/>
      <c r="I12" s="56"/>
      <c r="J12" s="56"/>
      <c r="K12" s="56"/>
      <c r="O12" s="34">
        <v>-1</v>
      </c>
      <c r="P12" s="34">
        <v>0</v>
      </c>
      <c r="Q12" s="8">
        <v>0</v>
      </c>
      <c r="R12" s="8">
        <v>0</v>
      </c>
      <c r="U12" s="9" t="s">
        <v>32</v>
      </c>
      <c r="V12" s="9" t="s">
        <v>31</v>
      </c>
      <c r="W12" s="8">
        <v>0</v>
      </c>
      <c r="X12" s="8">
        <v>0</v>
      </c>
      <c r="Z12" s="8">
        <v>0</v>
      </c>
      <c r="AA12" s="9" t="s">
        <v>31</v>
      </c>
      <c r="AB12" s="9" t="s">
        <v>33</v>
      </c>
      <c r="AC12" s="9" t="s">
        <v>36</v>
      </c>
    </row>
    <row r="13" spans="1:29" x14ac:dyDescent="0.3">
      <c r="C13" s="10">
        <v>0</v>
      </c>
      <c r="D13" s="10">
        <v>0</v>
      </c>
      <c r="E13" s="9">
        <f>Chi</f>
        <v>2</v>
      </c>
      <c r="F13" s="10">
        <v>0</v>
      </c>
      <c r="H13" s="56"/>
      <c r="I13" s="56"/>
      <c r="J13" s="56"/>
      <c r="K13" s="56"/>
      <c r="O13" s="8">
        <v>0</v>
      </c>
      <c r="P13" s="8">
        <v>0</v>
      </c>
      <c r="Q13" s="34">
        <v>0</v>
      </c>
      <c r="R13" s="34">
        <v>1</v>
      </c>
      <c r="U13" s="9" t="s">
        <v>30</v>
      </c>
      <c r="V13" s="9" t="s">
        <v>33</v>
      </c>
      <c r="W13" s="9" t="s">
        <v>34</v>
      </c>
      <c r="X13" s="8">
        <v>0</v>
      </c>
      <c r="Z13" s="8">
        <v>0</v>
      </c>
      <c r="AA13" s="8">
        <v>0</v>
      </c>
      <c r="AB13" s="9" t="s">
        <v>34</v>
      </c>
      <c r="AC13" s="9" t="s">
        <v>37</v>
      </c>
    </row>
    <row r="14" spans="1:29" x14ac:dyDescent="0.3">
      <c r="C14" s="10">
        <v>0</v>
      </c>
      <c r="D14" s="10">
        <v>0</v>
      </c>
      <c r="E14" s="10">
        <v>0</v>
      </c>
      <c r="F14" s="9">
        <f>Chi</f>
        <v>2</v>
      </c>
      <c r="H14" s="56"/>
      <c r="I14" s="56"/>
      <c r="J14" s="56"/>
      <c r="K14" s="56"/>
      <c r="O14" s="8">
        <v>0</v>
      </c>
      <c r="P14" s="8">
        <v>0</v>
      </c>
      <c r="Q14" s="34">
        <v>-1</v>
      </c>
      <c r="R14" s="34">
        <v>0</v>
      </c>
      <c r="U14" s="9" t="s">
        <v>35</v>
      </c>
      <c r="V14" s="9" t="s">
        <v>36</v>
      </c>
      <c r="W14" s="9" t="s">
        <v>37</v>
      </c>
      <c r="X14" s="9" t="s">
        <v>38</v>
      </c>
      <c r="Z14" s="8">
        <v>0</v>
      </c>
      <c r="AA14" s="8">
        <v>0</v>
      </c>
      <c r="AB14" s="8">
        <v>0</v>
      </c>
      <c r="AC14" s="9" t="s">
        <v>38</v>
      </c>
    </row>
    <row r="16" spans="1:29" x14ac:dyDescent="0.3">
      <c r="C16" s="10">
        <v>-0.5</v>
      </c>
      <c r="D16" t="s">
        <v>78</v>
      </c>
      <c r="H16" s="71" t="s">
        <v>79</v>
      </c>
      <c r="I16" s="69"/>
      <c r="J16" s="69"/>
      <c r="K16" s="69"/>
    </row>
    <row r="17" spans="2:26" x14ac:dyDescent="0.3">
      <c r="B17" s="6" t="s">
        <v>42</v>
      </c>
      <c r="C17" s="11">
        <f>C16</f>
        <v>-0.5</v>
      </c>
      <c r="D17" s="10">
        <v>0</v>
      </c>
      <c r="E17" s="10">
        <v>0</v>
      </c>
      <c r="F17" s="10">
        <v>0</v>
      </c>
      <c r="G17" s="7" t="s">
        <v>3</v>
      </c>
      <c r="H17" s="17">
        <f t="array" ref="H17:K20">MMULT(Symplectic, Hamiltonian)</f>
        <v>0</v>
      </c>
      <c r="I17" s="17">
        <v>1</v>
      </c>
      <c r="J17" s="17">
        <v>0</v>
      </c>
      <c r="K17" s="17">
        <v>0</v>
      </c>
      <c r="M17" s="7" t="s">
        <v>5</v>
      </c>
      <c r="O17" s="17">
        <f>C17 + H17</f>
        <v>-0.5</v>
      </c>
      <c r="P17" s="17">
        <f t="shared" ref="P17:P20" si="0">D17 + I17</f>
        <v>1</v>
      </c>
      <c r="Q17" s="17">
        <f t="shared" ref="Q17:Q20" si="1">E17 + J17</f>
        <v>0</v>
      </c>
      <c r="R17" s="17">
        <f t="shared" ref="R17:R20" si="2">F17 + K17</f>
        <v>0</v>
      </c>
    </row>
    <row r="18" spans="2:26" x14ac:dyDescent="0.3">
      <c r="C18" s="10">
        <v>0</v>
      </c>
      <c r="D18" s="11">
        <f>C17</f>
        <v>-0.5</v>
      </c>
      <c r="E18" s="10">
        <v>0</v>
      </c>
      <c r="F18" s="10">
        <v>0</v>
      </c>
      <c r="H18" s="17">
        <v>-1</v>
      </c>
      <c r="I18" s="17">
        <v>0</v>
      </c>
      <c r="J18" s="17">
        <v>0</v>
      </c>
      <c r="K18" s="17">
        <v>0</v>
      </c>
      <c r="O18" s="17">
        <f t="shared" ref="O18:O20" si="3">C18 + H18</f>
        <v>-1</v>
      </c>
      <c r="P18" s="17">
        <f t="shared" si="0"/>
        <v>-0.5</v>
      </c>
      <c r="Q18" s="17">
        <f t="shared" si="1"/>
        <v>0</v>
      </c>
      <c r="R18" s="17">
        <f t="shared" si="2"/>
        <v>0</v>
      </c>
    </row>
    <row r="19" spans="2:26" x14ac:dyDescent="0.3">
      <c r="C19" s="10">
        <v>0</v>
      </c>
      <c r="D19" s="10">
        <v>0</v>
      </c>
      <c r="E19" s="11">
        <f>D18</f>
        <v>-0.5</v>
      </c>
      <c r="F19" s="10">
        <v>0</v>
      </c>
      <c r="H19" s="22">
        <v>0</v>
      </c>
      <c r="I19" s="22">
        <v>0</v>
      </c>
      <c r="J19" s="17">
        <v>0</v>
      </c>
      <c r="K19" s="17">
        <v>1</v>
      </c>
      <c r="O19" s="17">
        <f t="shared" si="3"/>
        <v>0</v>
      </c>
      <c r="P19" s="17">
        <f t="shared" si="0"/>
        <v>0</v>
      </c>
      <c r="Q19" s="43">
        <f t="shared" si="1"/>
        <v>-0.5</v>
      </c>
      <c r="R19" s="17">
        <f t="shared" si="2"/>
        <v>1</v>
      </c>
    </row>
    <row r="20" spans="2:26" x14ac:dyDescent="0.3">
      <c r="C20" s="10">
        <v>0</v>
      </c>
      <c r="D20" s="10">
        <v>0</v>
      </c>
      <c r="E20" s="10">
        <v>0</v>
      </c>
      <c r="F20" s="11">
        <f>E19</f>
        <v>-0.5</v>
      </c>
      <c r="H20" s="22">
        <v>0</v>
      </c>
      <c r="I20" s="22">
        <v>0</v>
      </c>
      <c r="J20" s="17">
        <v>-1</v>
      </c>
      <c r="K20" s="17">
        <v>0</v>
      </c>
      <c r="O20" s="17">
        <f t="shared" si="3"/>
        <v>0</v>
      </c>
      <c r="P20" s="17">
        <f t="shared" si="0"/>
        <v>0</v>
      </c>
      <c r="Q20" s="17">
        <f t="shared" si="1"/>
        <v>-1</v>
      </c>
      <c r="R20" s="43">
        <f t="shared" si="2"/>
        <v>-0.5</v>
      </c>
    </row>
    <row r="22" spans="2:26" x14ac:dyDescent="0.3">
      <c r="B22" s="6" t="s">
        <v>62</v>
      </c>
      <c r="C22" s="15">
        <v>1</v>
      </c>
      <c r="D22" s="16">
        <v>0</v>
      </c>
      <c r="E22" s="16">
        <v>0</v>
      </c>
      <c r="F22" s="16">
        <v>0</v>
      </c>
    </row>
    <row r="23" spans="2:26" x14ac:dyDescent="0.3">
      <c r="C23" s="16">
        <v>0</v>
      </c>
      <c r="D23" s="15">
        <v>1</v>
      </c>
      <c r="E23" s="16">
        <v>0</v>
      </c>
      <c r="F23" s="16">
        <v>0</v>
      </c>
    </row>
    <row r="24" spans="2:26" x14ac:dyDescent="0.3">
      <c r="C24" s="16">
        <v>0</v>
      </c>
      <c r="D24" s="16">
        <v>0</v>
      </c>
      <c r="E24" s="15">
        <v>1</v>
      </c>
      <c r="F24" s="16">
        <v>0</v>
      </c>
    </row>
    <row r="25" spans="2:26" x14ac:dyDescent="0.3">
      <c r="C25" s="16">
        <v>0</v>
      </c>
      <c r="D25" s="16">
        <v>0</v>
      </c>
      <c r="E25" s="16">
        <v>0</v>
      </c>
      <c r="F25" s="15">
        <v>1</v>
      </c>
    </row>
    <row r="27" spans="2:26" x14ac:dyDescent="0.3">
      <c r="C27" s="69" t="s">
        <v>0</v>
      </c>
      <c r="D27" s="69"/>
      <c r="E27" s="69"/>
      <c r="F27" s="69"/>
      <c r="G27" s="7" t="s">
        <v>45</v>
      </c>
      <c r="H27" s="69" t="s">
        <v>65</v>
      </c>
      <c r="I27" s="69"/>
      <c r="J27" s="69"/>
      <c r="K27" s="69"/>
      <c r="L27" s="2" t="s">
        <v>3</v>
      </c>
      <c r="M27" s="69" t="s">
        <v>65</v>
      </c>
      <c r="N27" s="69"/>
      <c r="O27" s="69"/>
      <c r="P27" s="69"/>
      <c r="Q27" s="7" t="s">
        <v>45</v>
      </c>
      <c r="R27" s="69" t="s">
        <v>15</v>
      </c>
      <c r="S27" s="69"/>
      <c r="T27" s="69"/>
      <c r="U27" s="69"/>
      <c r="V27" s="7" t="s">
        <v>5</v>
      </c>
      <c r="W27" s="69" t="s">
        <v>66</v>
      </c>
      <c r="X27" s="69"/>
      <c r="Y27" s="69"/>
      <c r="Z27" s="69"/>
    </row>
    <row r="28" spans="2:26" x14ac:dyDescent="0.3">
      <c r="C28" s="17">
        <f t="array" ref="C28:F31">Drift</f>
        <v>-0.5</v>
      </c>
      <c r="D28" s="17">
        <v>1</v>
      </c>
      <c r="E28" s="17">
        <v>0</v>
      </c>
      <c r="F28" s="17">
        <v>0</v>
      </c>
      <c r="G28" s="7" t="s">
        <v>45</v>
      </c>
      <c r="H28" s="9" t="s">
        <v>46</v>
      </c>
      <c r="I28" s="9" t="s">
        <v>47</v>
      </c>
      <c r="J28" s="9" t="s">
        <v>48</v>
      </c>
      <c r="K28" s="9" t="s">
        <v>49</v>
      </c>
      <c r="L28" s="2" t="s">
        <v>3</v>
      </c>
      <c r="M28" s="9" t="s">
        <v>46</v>
      </c>
      <c r="N28" s="9" t="s">
        <v>47</v>
      </c>
      <c r="O28" s="9" t="s">
        <v>48</v>
      </c>
      <c r="P28" s="9" t="s">
        <v>49</v>
      </c>
      <c r="Q28" s="7" t="s">
        <v>45</v>
      </c>
      <c r="R28" s="17">
        <f t="array" ref="R28:U31">TRANSPOSE(Drift)</f>
        <v>-0.5</v>
      </c>
      <c r="S28" s="17">
        <v>-1</v>
      </c>
      <c r="T28" s="17">
        <v>0</v>
      </c>
      <c r="U28" s="17">
        <v>0</v>
      </c>
      <c r="V28" s="7" t="s">
        <v>5</v>
      </c>
      <c r="W28" s="9">
        <f t="array" ref="W28:Z31">-Diffusion</f>
        <v>-2</v>
      </c>
      <c r="X28" s="9">
        <v>0</v>
      </c>
      <c r="Y28" s="9">
        <v>0</v>
      </c>
      <c r="Z28" s="9">
        <v>0</v>
      </c>
    </row>
    <row r="29" spans="2:26" x14ac:dyDescent="0.3">
      <c r="C29" s="17">
        <v>-1</v>
      </c>
      <c r="D29" s="17">
        <v>-0.5</v>
      </c>
      <c r="E29" s="17">
        <v>0</v>
      </c>
      <c r="F29" s="17">
        <v>0</v>
      </c>
      <c r="H29" s="9" t="s">
        <v>50</v>
      </c>
      <c r="I29" s="9" t="s">
        <v>51</v>
      </c>
      <c r="J29" s="9" t="s">
        <v>52</v>
      </c>
      <c r="K29" s="9" t="s">
        <v>53</v>
      </c>
      <c r="M29" s="9" t="s">
        <v>50</v>
      </c>
      <c r="N29" s="9" t="s">
        <v>51</v>
      </c>
      <c r="O29" s="9" t="s">
        <v>52</v>
      </c>
      <c r="P29" s="9" t="s">
        <v>53</v>
      </c>
      <c r="R29" s="17">
        <v>1</v>
      </c>
      <c r="S29" s="17">
        <v>-0.5</v>
      </c>
      <c r="T29" s="17">
        <v>0</v>
      </c>
      <c r="U29" s="17">
        <v>0</v>
      </c>
      <c r="W29" s="9">
        <v>0</v>
      </c>
      <c r="X29" s="9">
        <v>-2</v>
      </c>
      <c r="Y29" s="9">
        <v>0</v>
      </c>
      <c r="Z29" s="9">
        <v>0</v>
      </c>
    </row>
    <row r="30" spans="2:26" x14ac:dyDescent="0.3">
      <c r="C30" s="17">
        <v>0</v>
      </c>
      <c r="D30" s="17">
        <v>0</v>
      </c>
      <c r="E30" s="17">
        <v>-0.5</v>
      </c>
      <c r="F30" s="17">
        <v>1</v>
      </c>
      <c r="H30" s="9" t="s">
        <v>54</v>
      </c>
      <c r="I30" s="9" t="s">
        <v>56</v>
      </c>
      <c r="J30" s="9" t="s">
        <v>57</v>
      </c>
      <c r="K30" s="9" t="s">
        <v>58</v>
      </c>
      <c r="M30" s="9" t="s">
        <v>54</v>
      </c>
      <c r="N30" s="9" t="s">
        <v>56</v>
      </c>
      <c r="O30" s="9" t="s">
        <v>57</v>
      </c>
      <c r="P30" s="9" t="s">
        <v>58</v>
      </c>
      <c r="R30" s="17">
        <v>0</v>
      </c>
      <c r="S30" s="17">
        <v>0</v>
      </c>
      <c r="T30" s="17">
        <v>-0.5</v>
      </c>
      <c r="U30" s="17">
        <v>-1</v>
      </c>
      <c r="W30" s="9">
        <v>0</v>
      </c>
      <c r="X30" s="9">
        <v>0</v>
      </c>
      <c r="Y30" s="9">
        <v>-2</v>
      </c>
      <c r="Z30" s="9">
        <v>0</v>
      </c>
    </row>
    <row r="31" spans="2:26" x14ac:dyDescent="0.3">
      <c r="C31" s="17">
        <v>0</v>
      </c>
      <c r="D31" s="17">
        <v>0</v>
      </c>
      <c r="E31" s="17">
        <v>-1</v>
      </c>
      <c r="F31" s="17">
        <v>-0.5</v>
      </c>
      <c r="H31" s="9" t="s">
        <v>55</v>
      </c>
      <c r="I31" s="9" t="s">
        <v>59</v>
      </c>
      <c r="J31" s="9" t="s">
        <v>60</v>
      </c>
      <c r="K31" s="9" t="s">
        <v>61</v>
      </c>
      <c r="M31" s="9" t="s">
        <v>55</v>
      </c>
      <c r="N31" s="9" t="s">
        <v>59</v>
      </c>
      <c r="O31" s="9" t="s">
        <v>60</v>
      </c>
      <c r="P31" s="9" t="s">
        <v>61</v>
      </c>
      <c r="R31" s="17">
        <v>0</v>
      </c>
      <c r="S31" s="17">
        <v>0</v>
      </c>
      <c r="T31" s="17">
        <v>1</v>
      </c>
      <c r="U31" s="17">
        <v>-0.5</v>
      </c>
      <c r="W31" s="9">
        <v>0</v>
      </c>
      <c r="X31" s="9">
        <v>0</v>
      </c>
      <c r="Y31" s="9">
        <v>0</v>
      </c>
      <c r="Z31" s="9">
        <v>-2</v>
      </c>
    </row>
    <row r="33" spans="3:23" x14ac:dyDescent="0.3">
      <c r="C33" s="69" t="s">
        <v>67</v>
      </c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T33" t="s">
        <v>68</v>
      </c>
      <c r="W33" t="s">
        <v>69</v>
      </c>
    </row>
    <row r="34" spans="3:23" x14ac:dyDescent="0.3">
      <c r="C34" s="17">
        <f t="array" ref="C34:R49">KroneckerProduct(Identity,Drift) + KroneckerProduct(Drift, Identity)</f>
        <v>-1</v>
      </c>
      <c r="D34" s="17">
        <v>1</v>
      </c>
      <c r="E34" s="17">
        <v>0</v>
      </c>
      <c r="F34" s="17">
        <v>0</v>
      </c>
      <c r="G34" s="17">
        <v>1</v>
      </c>
      <c r="H34" s="17">
        <v>0</v>
      </c>
      <c r="I34" s="17">
        <v>0</v>
      </c>
      <c r="J34" s="17">
        <v>0</v>
      </c>
      <c r="K34" s="17">
        <v>0</v>
      </c>
      <c r="L34" s="17">
        <v>0</v>
      </c>
      <c r="M34" s="17">
        <v>0</v>
      </c>
      <c r="N34" s="17">
        <v>0</v>
      </c>
      <c r="O34" s="17">
        <v>0</v>
      </c>
      <c r="P34" s="17">
        <v>0</v>
      </c>
      <c r="Q34" s="17">
        <v>0</v>
      </c>
      <c r="R34" s="17">
        <v>0</v>
      </c>
      <c r="S34" s="7" t="s">
        <v>45</v>
      </c>
      <c r="T34" s="9" t="str">
        <f t="array" ref="T34:T49">Vec(H28:K31)</f>
        <v>x11</v>
      </c>
      <c r="V34" s="7" t="s">
        <v>5</v>
      </c>
      <c r="W34" s="9">
        <f t="array" ref="W34:W49">Vec(W28:Z31)</f>
        <v>-2</v>
      </c>
    </row>
    <row r="35" spans="3:23" x14ac:dyDescent="0.3">
      <c r="C35" s="17">
        <v>-1</v>
      </c>
      <c r="D35" s="17">
        <v>-1</v>
      </c>
      <c r="E35" s="17">
        <v>0</v>
      </c>
      <c r="F35" s="17">
        <v>0</v>
      </c>
      <c r="G35" s="17">
        <v>0</v>
      </c>
      <c r="H35" s="17">
        <v>1</v>
      </c>
      <c r="I35" s="17">
        <v>0</v>
      </c>
      <c r="J35" s="17">
        <v>0</v>
      </c>
      <c r="K35" s="17">
        <v>0</v>
      </c>
      <c r="L35" s="17">
        <v>0</v>
      </c>
      <c r="M35" s="17">
        <v>0</v>
      </c>
      <c r="N35" s="17">
        <v>0</v>
      </c>
      <c r="O35" s="17">
        <v>0</v>
      </c>
      <c r="P35" s="17">
        <v>0</v>
      </c>
      <c r="Q35" s="17">
        <v>0</v>
      </c>
      <c r="R35" s="17">
        <v>0</v>
      </c>
      <c r="T35" s="9" t="str">
        <v>x21</v>
      </c>
      <c r="W35" s="9">
        <v>0</v>
      </c>
    </row>
    <row r="36" spans="3:23" x14ac:dyDescent="0.3">
      <c r="C36" s="17">
        <v>0</v>
      </c>
      <c r="D36" s="17">
        <v>0</v>
      </c>
      <c r="E36" s="17">
        <v>-1</v>
      </c>
      <c r="F36" s="17">
        <v>1</v>
      </c>
      <c r="G36" s="17">
        <v>0</v>
      </c>
      <c r="H36" s="17">
        <v>0</v>
      </c>
      <c r="I36" s="17">
        <v>1</v>
      </c>
      <c r="J36" s="17">
        <v>0</v>
      </c>
      <c r="K36" s="17">
        <v>0</v>
      </c>
      <c r="L36" s="17">
        <v>0</v>
      </c>
      <c r="M36" s="17">
        <v>0</v>
      </c>
      <c r="N36" s="17">
        <v>0</v>
      </c>
      <c r="O36" s="17">
        <v>0</v>
      </c>
      <c r="P36" s="17">
        <v>0</v>
      </c>
      <c r="Q36" s="17">
        <v>0</v>
      </c>
      <c r="R36" s="17">
        <v>0</v>
      </c>
      <c r="T36" s="9" t="str">
        <v>x31</v>
      </c>
      <c r="W36" s="9">
        <v>0</v>
      </c>
    </row>
    <row r="37" spans="3:23" x14ac:dyDescent="0.3">
      <c r="C37" s="17">
        <v>0</v>
      </c>
      <c r="D37" s="17">
        <v>0</v>
      </c>
      <c r="E37" s="17">
        <v>-1</v>
      </c>
      <c r="F37" s="17">
        <v>-1</v>
      </c>
      <c r="G37" s="17">
        <v>0</v>
      </c>
      <c r="H37" s="17">
        <v>0</v>
      </c>
      <c r="I37" s="17">
        <v>0</v>
      </c>
      <c r="J37" s="17">
        <v>1</v>
      </c>
      <c r="K37" s="17">
        <v>0</v>
      </c>
      <c r="L37" s="17">
        <v>0</v>
      </c>
      <c r="M37" s="17">
        <v>0</v>
      </c>
      <c r="N37" s="17">
        <v>0</v>
      </c>
      <c r="O37" s="17">
        <v>0</v>
      </c>
      <c r="P37" s="17">
        <v>0</v>
      </c>
      <c r="Q37" s="17">
        <v>0</v>
      </c>
      <c r="R37" s="17">
        <v>0</v>
      </c>
      <c r="T37" s="9" t="str">
        <v>x41</v>
      </c>
      <c r="W37" s="9">
        <v>0</v>
      </c>
    </row>
    <row r="38" spans="3:23" x14ac:dyDescent="0.3">
      <c r="C38" s="17">
        <v>-1</v>
      </c>
      <c r="D38" s="17">
        <v>0</v>
      </c>
      <c r="E38" s="17">
        <v>0</v>
      </c>
      <c r="F38" s="17">
        <v>0</v>
      </c>
      <c r="G38" s="17">
        <v>-1</v>
      </c>
      <c r="H38" s="17">
        <v>1</v>
      </c>
      <c r="I38" s="17">
        <v>0</v>
      </c>
      <c r="J38" s="17">
        <v>0</v>
      </c>
      <c r="K38" s="17">
        <v>0</v>
      </c>
      <c r="L38" s="17">
        <v>0</v>
      </c>
      <c r="M38" s="17">
        <v>0</v>
      </c>
      <c r="N38" s="17">
        <v>0</v>
      </c>
      <c r="O38" s="17">
        <v>0</v>
      </c>
      <c r="P38" s="17">
        <v>0</v>
      </c>
      <c r="Q38" s="17">
        <v>0</v>
      </c>
      <c r="R38" s="17">
        <v>0</v>
      </c>
      <c r="T38" s="9" t="str">
        <v>x12</v>
      </c>
      <c r="W38" s="9">
        <v>0</v>
      </c>
    </row>
    <row r="39" spans="3:23" x14ac:dyDescent="0.3">
      <c r="C39" s="17">
        <v>0</v>
      </c>
      <c r="D39" s="17">
        <v>-1</v>
      </c>
      <c r="E39" s="17">
        <v>0</v>
      </c>
      <c r="F39" s="17">
        <v>0</v>
      </c>
      <c r="G39" s="17">
        <v>-1</v>
      </c>
      <c r="H39" s="17">
        <v>-1</v>
      </c>
      <c r="I39" s="17">
        <v>0</v>
      </c>
      <c r="J39" s="17">
        <v>0</v>
      </c>
      <c r="K39" s="17">
        <v>0</v>
      </c>
      <c r="L39" s="17">
        <v>0</v>
      </c>
      <c r="M39" s="17">
        <v>0</v>
      </c>
      <c r="N39" s="17">
        <v>0</v>
      </c>
      <c r="O39" s="17">
        <v>0</v>
      </c>
      <c r="P39" s="17">
        <v>0</v>
      </c>
      <c r="Q39" s="17">
        <v>0</v>
      </c>
      <c r="R39" s="17">
        <v>0</v>
      </c>
      <c r="T39" s="9" t="str">
        <v>x22</v>
      </c>
      <c r="W39" s="9">
        <v>-2</v>
      </c>
    </row>
    <row r="40" spans="3:23" x14ac:dyDescent="0.3">
      <c r="C40" s="17">
        <v>0</v>
      </c>
      <c r="D40" s="17">
        <v>0</v>
      </c>
      <c r="E40" s="17">
        <v>-1</v>
      </c>
      <c r="F40" s="17">
        <v>0</v>
      </c>
      <c r="G40" s="17">
        <v>0</v>
      </c>
      <c r="H40" s="17">
        <v>0</v>
      </c>
      <c r="I40" s="17">
        <v>-1</v>
      </c>
      <c r="J40" s="17">
        <v>1</v>
      </c>
      <c r="K40" s="17">
        <v>0</v>
      </c>
      <c r="L40" s="17">
        <v>0</v>
      </c>
      <c r="M40" s="17">
        <v>0</v>
      </c>
      <c r="N40" s="17">
        <v>0</v>
      </c>
      <c r="O40" s="17">
        <v>0</v>
      </c>
      <c r="P40" s="17">
        <v>0</v>
      </c>
      <c r="Q40" s="17">
        <v>0</v>
      </c>
      <c r="R40" s="17">
        <v>0</v>
      </c>
      <c r="T40" s="9" t="str">
        <v>x32</v>
      </c>
      <c r="W40" s="9">
        <v>0</v>
      </c>
    </row>
    <row r="41" spans="3:23" x14ac:dyDescent="0.3">
      <c r="C41" s="17">
        <v>0</v>
      </c>
      <c r="D41" s="17">
        <v>0</v>
      </c>
      <c r="E41" s="17">
        <v>0</v>
      </c>
      <c r="F41" s="17">
        <v>-1</v>
      </c>
      <c r="G41" s="17">
        <v>0</v>
      </c>
      <c r="H41" s="17">
        <v>0</v>
      </c>
      <c r="I41" s="17">
        <v>-1</v>
      </c>
      <c r="J41" s="17">
        <v>-1</v>
      </c>
      <c r="K41" s="17">
        <v>0</v>
      </c>
      <c r="L41" s="17">
        <v>0</v>
      </c>
      <c r="M41" s="17">
        <v>0</v>
      </c>
      <c r="N41" s="17">
        <v>0</v>
      </c>
      <c r="O41" s="17">
        <v>0</v>
      </c>
      <c r="P41" s="17">
        <v>0</v>
      </c>
      <c r="Q41" s="17">
        <v>0</v>
      </c>
      <c r="R41" s="17">
        <v>0</v>
      </c>
      <c r="T41" s="9" t="str">
        <v>x42</v>
      </c>
      <c r="W41" s="9">
        <v>0</v>
      </c>
    </row>
    <row r="42" spans="3:23" x14ac:dyDescent="0.3">
      <c r="C42" s="17">
        <v>0</v>
      </c>
      <c r="D42" s="17">
        <v>0</v>
      </c>
      <c r="E42" s="17">
        <v>0</v>
      </c>
      <c r="F42" s="17">
        <v>0</v>
      </c>
      <c r="G42" s="17">
        <v>0</v>
      </c>
      <c r="H42" s="17">
        <v>0</v>
      </c>
      <c r="I42" s="17">
        <v>0</v>
      </c>
      <c r="J42" s="17">
        <v>0</v>
      </c>
      <c r="K42" s="17">
        <v>-1</v>
      </c>
      <c r="L42" s="17">
        <v>1</v>
      </c>
      <c r="M42" s="17">
        <v>0</v>
      </c>
      <c r="N42" s="17">
        <v>0</v>
      </c>
      <c r="O42" s="17">
        <v>1</v>
      </c>
      <c r="P42" s="17">
        <v>0</v>
      </c>
      <c r="Q42" s="17">
        <v>0</v>
      </c>
      <c r="R42" s="17">
        <v>0</v>
      </c>
      <c r="T42" s="9" t="str">
        <v>x13</v>
      </c>
      <c r="W42" s="9">
        <v>0</v>
      </c>
    </row>
    <row r="43" spans="3:23" x14ac:dyDescent="0.3">
      <c r="C43" s="17">
        <v>0</v>
      </c>
      <c r="D43" s="17">
        <v>0</v>
      </c>
      <c r="E43" s="17">
        <v>0</v>
      </c>
      <c r="F43" s="17">
        <v>0</v>
      </c>
      <c r="G43" s="17">
        <v>0</v>
      </c>
      <c r="H43" s="17">
        <v>0</v>
      </c>
      <c r="I43" s="17">
        <v>0</v>
      </c>
      <c r="J43" s="17">
        <v>0</v>
      </c>
      <c r="K43" s="17">
        <v>-1</v>
      </c>
      <c r="L43" s="17">
        <v>-1</v>
      </c>
      <c r="M43" s="17">
        <v>0</v>
      </c>
      <c r="N43" s="17">
        <v>0</v>
      </c>
      <c r="O43" s="17">
        <v>0</v>
      </c>
      <c r="P43" s="17">
        <v>1</v>
      </c>
      <c r="Q43" s="17">
        <v>0</v>
      </c>
      <c r="R43" s="17">
        <v>0</v>
      </c>
      <c r="T43" s="9" t="str">
        <v>x23</v>
      </c>
      <c r="W43" s="9">
        <v>0</v>
      </c>
    </row>
    <row r="44" spans="3:23" x14ac:dyDescent="0.3">
      <c r="C44" s="17">
        <v>0</v>
      </c>
      <c r="D44" s="17">
        <v>0</v>
      </c>
      <c r="E44" s="17">
        <v>0</v>
      </c>
      <c r="F44" s="17">
        <v>0</v>
      </c>
      <c r="G44" s="17">
        <v>0</v>
      </c>
      <c r="H44" s="17">
        <v>0</v>
      </c>
      <c r="I44" s="17">
        <v>0</v>
      </c>
      <c r="J44" s="17">
        <v>0</v>
      </c>
      <c r="K44" s="17">
        <v>0</v>
      </c>
      <c r="L44" s="17">
        <v>0</v>
      </c>
      <c r="M44" s="17">
        <v>-1</v>
      </c>
      <c r="N44" s="17">
        <v>1</v>
      </c>
      <c r="O44" s="17">
        <v>0</v>
      </c>
      <c r="P44" s="17">
        <v>0</v>
      </c>
      <c r="Q44" s="17">
        <v>1</v>
      </c>
      <c r="R44" s="17">
        <v>0</v>
      </c>
      <c r="T44" s="9" t="str">
        <v>x33</v>
      </c>
      <c r="W44" s="9">
        <v>-2</v>
      </c>
    </row>
    <row r="45" spans="3:23" x14ac:dyDescent="0.3">
      <c r="C45" s="17">
        <v>0</v>
      </c>
      <c r="D45" s="17">
        <v>0</v>
      </c>
      <c r="E45" s="17">
        <v>0</v>
      </c>
      <c r="F45" s="17">
        <v>0</v>
      </c>
      <c r="G45" s="17">
        <v>0</v>
      </c>
      <c r="H45" s="17">
        <v>0</v>
      </c>
      <c r="I45" s="17">
        <v>0</v>
      </c>
      <c r="J45" s="17">
        <v>0</v>
      </c>
      <c r="K45" s="17">
        <v>0</v>
      </c>
      <c r="L45" s="17">
        <v>0</v>
      </c>
      <c r="M45" s="17">
        <v>-1</v>
      </c>
      <c r="N45" s="17">
        <v>-1</v>
      </c>
      <c r="O45" s="17">
        <v>0</v>
      </c>
      <c r="P45" s="17">
        <v>0</v>
      </c>
      <c r="Q45" s="17">
        <v>0</v>
      </c>
      <c r="R45" s="17">
        <v>1</v>
      </c>
      <c r="T45" s="9" t="str">
        <v>x43</v>
      </c>
      <c r="W45" s="9">
        <v>0</v>
      </c>
    </row>
    <row r="46" spans="3:23" x14ac:dyDescent="0.3">
      <c r="C46" s="17">
        <v>0</v>
      </c>
      <c r="D46" s="17">
        <v>0</v>
      </c>
      <c r="E46" s="17">
        <v>0</v>
      </c>
      <c r="F46" s="17">
        <v>0</v>
      </c>
      <c r="G46" s="17">
        <v>0</v>
      </c>
      <c r="H46" s="17">
        <v>0</v>
      </c>
      <c r="I46" s="17">
        <v>0</v>
      </c>
      <c r="J46" s="17">
        <v>0</v>
      </c>
      <c r="K46" s="17">
        <v>-1</v>
      </c>
      <c r="L46" s="17">
        <v>0</v>
      </c>
      <c r="M46" s="17">
        <v>0</v>
      </c>
      <c r="N46" s="17">
        <v>0</v>
      </c>
      <c r="O46" s="17">
        <v>-1</v>
      </c>
      <c r="P46" s="17">
        <v>1</v>
      </c>
      <c r="Q46" s="17">
        <v>0</v>
      </c>
      <c r="R46" s="17">
        <v>0</v>
      </c>
      <c r="T46" s="9" t="str">
        <v>x14</v>
      </c>
      <c r="W46" s="9">
        <v>0</v>
      </c>
    </row>
    <row r="47" spans="3:23" x14ac:dyDescent="0.3">
      <c r="C47" s="17">
        <v>0</v>
      </c>
      <c r="D47" s="17">
        <v>0</v>
      </c>
      <c r="E47" s="17">
        <v>0</v>
      </c>
      <c r="F47" s="17">
        <v>0</v>
      </c>
      <c r="G47" s="17">
        <v>0</v>
      </c>
      <c r="H47" s="17">
        <v>0</v>
      </c>
      <c r="I47" s="17">
        <v>0</v>
      </c>
      <c r="J47" s="17">
        <v>0</v>
      </c>
      <c r="K47" s="17">
        <v>0</v>
      </c>
      <c r="L47" s="17">
        <v>-1</v>
      </c>
      <c r="M47" s="17">
        <v>0</v>
      </c>
      <c r="N47" s="17">
        <v>0</v>
      </c>
      <c r="O47" s="17">
        <v>-1</v>
      </c>
      <c r="P47" s="17">
        <v>-1</v>
      </c>
      <c r="Q47" s="17">
        <v>0</v>
      </c>
      <c r="R47" s="17">
        <v>0</v>
      </c>
      <c r="T47" s="9" t="str">
        <v>x24</v>
      </c>
      <c r="W47" s="9">
        <v>0</v>
      </c>
    </row>
    <row r="48" spans="3:23" x14ac:dyDescent="0.3">
      <c r="C48" s="17">
        <v>0</v>
      </c>
      <c r="D48" s="17">
        <v>0</v>
      </c>
      <c r="E48" s="17">
        <v>0</v>
      </c>
      <c r="F48" s="17">
        <v>0</v>
      </c>
      <c r="G48" s="17">
        <v>0</v>
      </c>
      <c r="H48" s="17">
        <v>0</v>
      </c>
      <c r="I48" s="17">
        <v>0</v>
      </c>
      <c r="J48" s="17">
        <v>0</v>
      </c>
      <c r="K48" s="17">
        <v>0</v>
      </c>
      <c r="L48" s="17">
        <v>0</v>
      </c>
      <c r="M48" s="17">
        <v>-1</v>
      </c>
      <c r="N48" s="17">
        <v>0</v>
      </c>
      <c r="O48" s="17">
        <v>0</v>
      </c>
      <c r="P48" s="17">
        <v>0</v>
      </c>
      <c r="Q48" s="17">
        <v>-1</v>
      </c>
      <c r="R48" s="17">
        <v>1</v>
      </c>
      <c r="T48" s="9" t="str">
        <v>x34</v>
      </c>
      <c r="W48" s="9">
        <v>0</v>
      </c>
    </row>
    <row r="49" spans="3:23" x14ac:dyDescent="0.3">
      <c r="C49" s="17">
        <v>0</v>
      </c>
      <c r="D49" s="17">
        <v>0</v>
      </c>
      <c r="E49" s="17">
        <v>0</v>
      </c>
      <c r="F49" s="17">
        <v>0</v>
      </c>
      <c r="G49" s="17">
        <v>0</v>
      </c>
      <c r="H49" s="17">
        <v>0</v>
      </c>
      <c r="I49" s="17">
        <v>0</v>
      </c>
      <c r="J49" s="17">
        <v>0</v>
      </c>
      <c r="K49" s="17">
        <v>0</v>
      </c>
      <c r="L49" s="17">
        <v>0</v>
      </c>
      <c r="M49" s="17">
        <v>0</v>
      </c>
      <c r="N49" s="17">
        <v>-1</v>
      </c>
      <c r="O49" s="17">
        <v>0</v>
      </c>
      <c r="P49" s="17">
        <v>0</v>
      </c>
      <c r="Q49" s="17">
        <v>-1</v>
      </c>
      <c r="R49" s="17">
        <v>-1</v>
      </c>
      <c r="T49" s="9" t="str">
        <v>x44</v>
      </c>
      <c r="W49" s="9">
        <v>-2</v>
      </c>
    </row>
    <row r="51" spans="3:23" x14ac:dyDescent="0.3">
      <c r="T51" s="9" t="str">
        <f t="shared" ref="T51:T66" si="4">T34</f>
        <v>x11</v>
      </c>
      <c r="V51" s="7" t="s">
        <v>5</v>
      </c>
      <c r="W51" s="9">
        <f t="array" ref="W51:W66">MMULT( MINVERSE(C34:R49), W34:W49)</f>
        <v>2</v>
      </c>
    </row>
    <row r="52" spans="3:23" x14ac:dyDescent="0.3">
      <c r="T52" s="9" t="str">
        <f t="shared" si="4"/>
        <v>x21</v>
      </c>
      <c r="W52" s="9">
        <v>5.5511151231257827E-17</v>
      </c>
    </row>
    <row r="53" spans="3:23" x14ac:dyDescent="0.3">
      <c r="T53" s="9" t="str">
        <f t="shared" si="4"/>
        <v>x31</v>
      </c>
      <c r="W53" s="9">
        <v>0</v>
      </c>
    </row>
    <row r="54" spans="3:23" x14ac:dyDescent="0.3">
      <c r="T54" s="9" t="str">
        <f t="shared" si="4"/>
        <v>x41</v>
      </c>
      <c r="W54" s="9">
        <v>0</v>
      </c>
    </row>
    <row r="55" spans="3:23" x14ac:dyDescent="0.3">
      <c r="T55" s="9" t="str">
        <f t="shared" si="4"/>
        <v>x12</v>
      </c>
      <c r="W55" s="9">
        <v>-1.1102230246251565E-16</v>
      </c>
    </row>
    <row r="56" spans="3:23" x14ac:dyDescent="0.3">
      <c r="T56" s="9" t="str">
        <f t="shared" si="4"/>
        <v>x22</v>
      </c>
      <c r="W56" s="9">
        <v>2</v>
      </c>
    </row>
    <row r="57" spans="3:23" x14ac:dyDescent="0.3">
      <c r="T57" s="9" t="str">
        <f t="shared" si="4"/>
        <v>x32</v>
      </c>
      <c r="W57" s="9">
        <v>0</v>
      </c>
    </row>
    <row r="58" spans="3:23" x14ac:dyDescent="0.3">
      <c r="T58" s="9" t="str">
        <f t="shared" si="4"/>
        <v>x42</v>
      </c>
      <c r="W58" s="9">
        <v>0</v>
      </c>
    </row>
    <row r="59" spans="3:23" x14ac:dyDescent="0.3">
      <c r="T59" s="9" t="str">
        <f t="shared" si="4"/>
        <v>x13</v>
      </c>
      <c r="W59" s="9">
        <v>0</v>
      </c>
    </row>
    <row r="60" spans="3:23" x14ac:dyDescent="0.3">
      <c r="T60" s="9" t="str">
        <f t="shared" si="4"/>
        <v>x23</v>
      </c>
      <c r="W60" s="9">
        <v>0</v>
      </c>
    </row>
    <row r="61" spans="3:23" x14ac:dyDescent="0.3">
      <c r="T61" s="9" t="str">
        <f t="shared" si="4"/>
        <v>x33</v>
      </c>
      <c r="W61" s="9">
        <v>2</v>
      </c>
    </row>
    <row r="62" spans="3:23" x14ac:dyDescent="0.3">
      <c r="T62" s="9" t="str">
        <f t="shared" si="4"/>
        <v>x43</v>
      </c>
      <c r="W62" s="9">
        <v>5.5511151231257827E-17</v>
      </c>
    </row>
    <row r="63" spans="3:23" x14ac:dyDescent="0.3">
      <c r="T63" s="9" t="str">
        <f t="shared" si="4"/>
        <v>x14</v>
      </c>
      <c r="W63" s="9">
        <v>0</v>
      </c>
    </row>
    <row r="64" spans="3:23" x14ac:dyDescent="0.3">
      <c r="T64" s="9" t="str">
        <f t="shared" si="4"/>
        <v>x24</v>
      </c>
      <c r="W64" s="9">
        <v>0</v>
      </c>
    </row>
    <row r="65" spans="4:31" x14ac:dyDescent="0.3">
      <c r="T65" s="9" t="str">
        <f t="shared" si="4"/>
        <v>x34</v>
      </c>
      <c r="W65" s="9">
        <v>-1.1102230246251565E-16</v>
      </c>
    </row>
    <row r="66" spans="4:31" x14ac:dyDescent="0.3">
      <c r="T66" s="9" t="str">
        <f t="shared" si="4"/>
        <v>x44</v>
      </c>
      <c r="W66" s="9">
        <v>2</v>
      </c>
    </row>
    <row r="68" spans="4:31" x14ac:dyDescent="0.3">
      <c r="P68" s="26" t="s">
        <v>70</v>
      </c>
      <c r="Q68" s="9" t="s">
        <v>46</v>
      </c>
      <c r="R68" s="9" t="s">
        <v>47</v>
      </c>
      <c r="S68" s="9" t="s">
        <v>48</v>
      </c>
      <c r="T68" s="9" t="s">
        <v>49</v>
      </c>
      <c r="V68" s="7" t="s">
        <v>5</v>
      </c>
      <c r="W68" s="18">
        <f t="shared" ref="W68:W71" si="5">W51</f>
        <v>2</v>
      </c>
      <c r="X68" s="18">
        <f t="shared" ref="X68:X71" si="6">W55</f>
        <v>-1.1102230246251565E-16</v>
      </c>
      <c r="Y68" s="17">
        <f t="shared" ref="Y68:Y71" si="7">W59</f>
        <v>0</v>
      </c>
      <c r="Z68" s="17">
        <f t="shared" ref="Z68:Z71" si="8">W63</f>
        <v>0</v>
      </c>
    </row>
    <row r="69" spans="4:31" x14ac:dyDescent="0.3">
      <c r="Q69" s="9" t="s">
        <v>50</v>
      </c>
      <c r="R69" s="9" t="s">
        <v>51</v>
      </c>
      <c r="S69" s="9" t="s">
        <v>52</v>
      </c>
      <c r="T69" s="9" t="s">
        <v>53</v>
      </c>
      <c r="W69" s="18">
        <f t="shared" si="5"/>
        <v>5.5511151231257827E-17</v>
      </c>
      <c r="X69" s="18">
        <f t="shared" si="6"/>
        <v>2</v>
      </c>
      <c r="Y69" s="17">
        <f t="shared" si="7"/>
        <v>0</v>
      </c>
      <c r="Z69" s="17">
        <f t="shared" si="8"/>
        <v>0</v>
      </c>
    </row>
    <row r="70" spans="4:31" x14ac:dyDescent="0.3">
      <c r="Q70" s="9" t="s">
        <v>54</v>
      </c>
      <c r="R70" s="9" t="s">
        <v>56</v>
      </c>
      <c r="S70" s="9" t="s">
        <v>57</v>
      </c>
      <c r="T70" s="9" t="s">
        <v>58</v>
      </c>
      <c r="W70" s="17">
        <f t="shared" si="5"/>
        <v>0</v>
      </c>
      <c r="X70" s="17">
        <f t="shared" si="6"/>
        <v>0</v>
      </c>
      <c r="Y70" s="21">
        <f t="shared" si="7"/>
        <v>2</v>
      </c>
      <c r="Z70" s="21">
        <f t="shared" si="8"/>
        <v>-1.1102230246251565E-16</v>
      </c>
    </row>
    <row r="71" spans="4:31" x14ac:dyDescent="0.3">
      <c r="Q71" s="9" t="s">
        <v>55</v>
      </c>
      <c r="R71" s="9" t="s">
        <v>59</v>
      </c>
      <c r="S71" s="9" t="s">
        <v>60</v>
      </c>
      <c r="T71" s="9" t="s">
        <v>61</v>
      </c>
      <c r="W71" s="17">
        <f t="shared" si="5"/>
        <v>0</v>
      </c>
      <c r="X71" s="17">
        <f t="shared" si="6"/>
        <v>0</v>
      </c>
      <c r="Y71" s="46">
        <f t="shared" si="7"/>
        <v>5.5511151231257827E-17</v>
      </c>
      <c r="Z71" s="21">
        <f t="shared" si="8"/>
        <v>2</v>
      </c>
      <c r="AE71" s="20"/>
    </row>
    <row r="74" spans="4:31" x14ac:dyDescent="0.3">
      <c r="V74" s="24" t="s">
        <v>64</v>
      </c>
      <c r="W74" s="29">
        <f t="array" ref="W74">MDETERM(W68:X69)</f>
        <v>4</v>
      </c>
    </row>
    <row r="80" spans="4:31" x14ac:dyDescent="0.3">
      <c r="D80" s="69" t="s">
        <v>0</v>
      </c>
      <c r="E80" s="69"/>
      <c r="F80" s="69"/>
      <c r="G80" s="69"/>
      <c r="H80" s="7" t="s">
        <v>45</v>
      </c>
      <c r="I80" s="69" t="s">
        <v>65</v>
      </c>
      <c r="J80" s="69"/>
      <c r="K80" s="69"/>
      <c r="L80" s="69"/>
      <c r="M80" s="32" t="s">
        <v>3</v>
      </c>
      <c r="N80" s="69" t="s">
        <v>65</v>
      </c>
      <c r="O80" s="69"/>
      <c r="P80" s="69"/>
      <c r="Q80" s="69"/>
      <c r="R80" s="7" t="s">
        <v>45</v>
      </c>
      <c r="S80" s="69" t="s">
        <v>15</v>
      </c>
      <c r="T80" s="69"/>
      <c r="U80" s="69"/>
      <c r="V80" s="69"/>
      <c r="W80" s="7" t="s">
        <v>5</v>
      </c>
      <c r="X80" s="69" t="s">
        <v>66</v>
      </c>
      <c r="Y80" s="69"/>
      <c r="Z80" s="69"/>
      <c r="AA80" s="69"/>
    </row>
    <row r="81" spans="4:23" x14ac:dyDescent="0.3">
      <c r="D81" s="36">
        <f t="array" ref="D81:G84">O17:R20</f>
        <v>-0.5</v>
      </c>
      <c r="E81" s="36">
        <v>1</v>
      </c>
      <c r="F81" s="36">
        <v>0</v>
      </c>
      <c r="G81" s="36">
        <v>0</v>
      </c>
      <c r="I81" s="36">
        <f t="array" ref="I81:L84">W68:Z71</f>
        <v>2</v>
      </c>
      <c r="J81" s="36">
        <v>-1.1102230246251565E-16</v>
      </c>
      <c r="K81" s="36">
        <v>0</v>
      </c>
      <c r="L81" s="36">
        <v>0</v>
      </c>
      <c r="M81" t="s">
        <v>3</v>
      </c>
      <c r="N81" s="36">
        <f t="array" ref="N81:Q84">I81:L84</f>
        <v>2</v>
      </c>
      <c r="O81" s="36">
        <v>-1.1102230246251565E-16</v>
      </c>
      <c r="P81" s="36">
        <v>0</v>
      </c>
      <c r="Q81" s="36">
        <v>0</v>
      </c>
      <c r="S81" s="36">
        <f t="array" ref="S81:V84">TRANSPOSE(D81:G84)</f>
        <v>-0.5</v>
      </c>
      <c r="T81" s="36">
        <v>-1</v>
      </c>
      <c r="U81" s="36">
        <v>0</v>
      </c>
      <c r="V81" s="36">
        <v>0</v>
      </c>
      <c r="W81" s="33" t="s">
        <v>5</v>
      </c>
    </row>
    <row r="82" spans="4:23" x14ac:dyDescent="0.3">
      <c r="D82" s="36">
        <v>-1</v>
      </c>
      <c r="E82" s="36">
        <v>-0.5</v>
      </c>
      <c r="F82" s="36">
        <v>0</v>
      </c>
      <c r="G82" s="36">
        <v>0</v>
      </c>
      <c r="I82" s="36">
        <v>5.5511151231257827E-17</v>
      </c>
      <c r="J82" s="36">
        <v>2</v>
      </c>
      <c r="K82" s="36">
        <v>0</v>
      </c>
      <c r="L82" s="36">
        <v>0</v>
      </c>
      <c r="N82" s="36">
        <v>5.5511151231257827E-17</v>
      </c>
      <c r="O82" s="36">
        <v>2</v>
      </c>
      <c r="P82" s="36">
        <v>0</v>
      </c>
      <c r="Q82" s="36">
        <v>0</v>
      </c>
      <c r="S82" s="36">
        <v>1</v>
      </c>
      <c r="T82" s="36">
        <v>-0.5</v>
      </c>
      <c r="U82" s="36">
        <v>0</v>
      </c>
      <c r="V82" s="36">
        <v>0</v>
      </c>
    </row>
    <row r="83" spans="4:23" x14ac:dyDescent="0.3">
      <c r="D83" s="36">
        <v>0</v>
      </c>
      <c r="E83" s="36">
        <v>0</v>
      </c>
      <c r="F83" s="47">
        <v>-0.5</v>
      </c>
      <c r="G83" s="36">
        <v>1</v>
      </c>
      <c r="I83" s="36">
        <v>0</v>
      </c>
      <c r="J83" s="36">
        <v>0</v>
      </c>
      <c r="K83" s="36">
        <v>2</v>
      </c>
      <c r="L83" s="36">
        <v>-1.1102230246251565E-16</v>
      </c>
      <c r="N83" s="36">
        <v>0</v>
      </c>
      <c r="O83" s="36">
        <v>0</v>
      </c>
      <c r="P83" s="37">
        <v>2</v>
      </c>
      <c r="Q83" s="36">
        <v>-1.1102230246251565E-16</v>
      </c>
      <c r="S83" s="36">
        <v>0</v>
      </c>
      <c r="T83" s="36">
        <v>0</v>
      </c>
      <c r="U83" s="36">
        <v>-0.5</v>
      </c>
      <c r="V83" s="36">
        <v>-1</v>
      </c>
    </row>
    <row r="84" spans="4:23" x14ac:dyDescent="0.3">
      <c r="D84" s="36">
        <v>0</v>
      </c>
      <c r="E84" s="36">
        <v>0</v>
      </c>
      <c r="F84" s="36">
        <v>-1</v>
      </c>
      <c r="G84" s="36">
        <v>-0.5</v>
      </c>
      <c r="I84" s="36">
        <v>0</v>
      </c>
      <c r="J84" s="36">
        <v>0</v>
      </c>
      <c r="K84" s="36">
        <v>5.5511151231257827E-17</v>
      </c>
      <c r="L84" s="36">
        <v>2</v>
      </c>
      <c r="N84" s="36">
        <v>0</v>
      </c>
      <c r="O84" s="36">
        <v>0</v>
      </c>
      <c r="P84" s="36">
        <v>5.5511151231257827E-17</v>
      </c>
      <c r="Q84" s="36">
        <v>2</v>
      </c>
      <c r="S84" s="36">
        <v>0</v>
      </c>
      <c r="T84" s="36">
        <v>0</v>
      </c>
      <c r="U84" s="36">
        <v>1</v>
      </c>
      <c r="V84" s="36">
        <v>-0.5</v>
      </c>
    </row>
    <row r="85" spans="4:23" x14ac:dyDescent="0.3">
      <c r="D85" s="36"/>
      <c r="E85" s="36"/>
      <c r="F85" s="36"/>
      <c r="G85" s="36"/>
      <c r="I85" s="36"/>
      <c r="J85" s="36"/>
      <c r="K85" s="36"/>
      <c r="L85" s="36"/>
      <c r="N85" s="36"/>
      <c r="O85" s="36"/>
      <c r="P85" s="36"/>
      <c r="Q85" s="36"/>
      <c r="S85" s="36"/>
      <c r="T85" s="36"/>
      <c r="U85" s="36"/>
      <c r="V85" s="36"/>
    </row>
    <row r="86" spans="4:23" x14ac:dyDescent="0.3">
      <c r="D86" s="69" t="s">
        <v>80</v>
      </c>
      <c r="E86" s="69"/>
      <c r="F86" s="69"/>
      <c r="G86" s="69"/>
      <c r="I86" s="36"/>
      <c r="N86" s="69" t="s">
        <v>81</v>
      </c>
      <c r="O86" s="69"/>
      <c r="P86" s="69"/>
      <c r="Q86" s="69"/>
    </row>
    <row r="87" spans="4:23" x14ac:dyDescent="0.3">
      <c r="D87" s="36">
        <f t="array" ref="D87:G90">MMULT(D81:G84,I81:L84)</f>
        <v>-1</v>
      </c>
      <c r="E87" s="36">
        <v>2</v>
      </c>
      <c r="F87" s="36">
        <v>0</v>
      </c>
      <c r="G87" s="36">
        <v>0</v>
      </c>
      <c r="N87" s="36">
        <f t="array" ref="N87:Q90">MMULT(N81:Q84,S81:V84)</f>
        <v>-1</v>
      </c>
      <c r="O87" s="36">
        <v>-2</v>
      </c>
      <c r="P87" s="36">
        <v>0</v>
      </c>
      <c r="Q87" s="36">
        <v>0</v>
      </c>
    </row>
    <row r="88" spans="4:23" x14ac:dyDescent="0.3">
      <c r="D88" s="36">
        <v>-2</v>
      </c>
      <c r="E88" s="36">
        <v>-0.99999999999999989</v>
      </c>
      <c r="F88" s="36">
        <v>0</v>
      </c>
      <c r="G88" s="36">
        <v>0</v>
      </c>
      <c r="N88" s="36">
        <v>2</v>
      </c>
      <c r="O88" s="36">
        <v>-1</v>
      </c>
      <c r="P88" s="36">
        <v>0</v>
      </c>
      <c r="Q88" s="36">
        <v>0</v>
      </c>
    </row>
    <row r="89" spans="4:23" x14ac:dyDescent="0.3">
      <c r="D89" s="36">
        <v>0</v>
      </c>
      <c r="E89" s="36">
        <v>0</v>
      </c>
      <c r="F89" s="36">
        <v>-1</v>
      </c>
      <c r="G89" s="36">
        <v>2</v>
      </c>
      <c r="N89" s="36">
        <v>0</v>
      </c>
      <c r="O89" s="36">
        <v>0</v>
      </c>
      <c r="P89" s="36">
        <v>-1</v>
      </c>
      <c r="Q89" s="36">
        <v>-2</v>
      </c>
    </row>
    <row r="90" spans="4:23" x14ac:dyDescent="0.3">
      <c r="D90" s="36">
        <v>0</v>
      </c>
      <c r="E90" s="36">
        <v>0</v>
      </c>
      <c r="F90" s="36">
        <v>-2</v>
      </c>
      <c r="G90" s="36">
        <v>-0.99999999999999989</v>
      </c>
      <c r="N90" s="36">
        <v>0</v>
      </c>
      <c r="O90" s="36">
        <v>0</v>
      </c>
      <c r="P90" s="36">
        <v>2</v>
      </c>
      <c r="Q90" s="36">
        <v>-1</v>
      </c>
    </row>
    <row r="91" spans="4:23" x14ac:dyDescent="0.3">
      <c r="D91" s="36"/>
      <c r="E91" s="36"/>
      <c r="F91" s="36"/>
      <c r="G91" s="36"/>
      <c r="N91" s="36"/>
      <c r="O91" s="36"/>
      <c r="P91" s="36"/>
      <c r="Q91" s="36"/>
    </row>
    <row r="92" spans="4:23" x14ac:dyDescent="0.3">
      <c r="D92" s="70" t="s">
        <v>66</v>
      </c>
      <c r="E92" s="69"/>
      <c r="F92" s="69"/>
      <c r="G92" s="69"/>
    </row>
    <row r="93" spans="4:23" x14ac:dyDescent="0.3">
      <c r="D93" s="36">
        <f t="array" ref="D93:G96">D87:G90+N87:Q90</f>
        <v>-2</v>
      </c>
      <c r="E93" s="36">
        <v>0</v>
      </c>
      <c r="F93" s="36">
        <v>0</v>
      </c>
      <c r="G93" s="36">
        <v>0</v>
      </c>
    </row>
    <row r="94" spans="4:23" x14ac:dyDescent="0.3">
      <c r="D94" s="36">
        <v>0</v>
      </c>
      <c r="E94" s="36">
        <v>-2</v>
      </c>
      <c r="F94" s="36">
        <v>0</v>
      </c>
      <c r="G94" s="36">
        <v>0</v>
      </c>
    </row>
    <row r="95" spans="4:23" x14ac:dyDescent="0.3">
      <c r="D95" s="36">
        <v>0</v>
      </c>
      <c r="E95" s="36">
        <v>0</v>
      </c>
      <c r="F95" s="36">
        <v>-2</v>
      </c>
      <c r="G95" s="36">
        <v>0</v>
      </c>
    </row>
    <row r="96" spans="4:23" x14ac:dyDescent="0.3">
      <c r="D96" s="36">
        <v>0</v>
      </c>
      <c r="E96" s="36">
        <v>0</v>
      </c>
      <c r="F96" s="36">
        <v>0</v>
      </c>
      <c r="G96" s="36">
        <v>-2</v>
      </c>
    </row>
    <row r="98" spans="4:13" x14ac:dyDescent="0.3">
      <c r="D98" t="b">
        <f t="array" ref="D98:G101">ROUND(D93:G96,2)=-C11:F14</f>
        <v>1</v>
      </c>
      <c r="E98" t="b">
        <v>1</v>
      </c>
      <c r="F98" t="b">
        <v>1</v>
      </c>
      <c r="G98" t="b">
        <v>1</v>
      </c>
    </row>
    <row r="99" spans="4:13" x14ac:dyDescent="0.3">
      <c r="D99" t="b">
        <v>1</v>
      </c>
      <c r="E99" t="b">
        <v>1</v>
      </c>
      <c r="F99" t="b">
        <v>1</v>
      </c>
      <c r="G99" t="b">
        <v>1</v>
      </c>
    </row>
    <row r="100" spans="4:13" x14ac:dyDescent="0.3">
      <c r="D100" t="b">
        <v>1</v>
      </c>
      <c r="E100" t="b">
        <v>1</v>
      </c>
      <c r="F100" t="b">
        <v>1</v>
      </c>
      <c r="G100" t="b">
        <v>1</v>
      </c>
    </row>
    <row r="101" spans="4:13" x14ac:dyDescent="0.3">
      <c r="D101" t="b">
        <v>1</v>
      </c>
      <c r="E101" t="b">
        <v>1</v>
      </c>
      <c r="F101" t="b">
        <v>1</v>
      </c>
      <c r="G101" t="b">
        <v>1</v>
      </c>
    </row>
    <row r="109" spans="4:13" x14ac:dyDescent="0.3">
      <c r="H109" s="33"/>
      <c r="M109" s="33"/>
    </row>
  </sheetData>
  <mergeCells count="15">
    <mergeCell ref="X80:AA80"/>
    <mergeCell ref="D86:G86"/>
    <mergeCell ref="N86:Q86"/>
    <mergeCell ref="D92:G92"/>
    <mergeCell ref="H16:K16"/>
    <mergeCell ref="D80:G80"/>
    <mergeCell ref="I80:L80"/>
    <mergeCell ref="N80:Q80"/>
    <mergeCell ref="S80:V80"/>
    <mergeCell ref="W27:Z27"/>
    <mergeCell ref="C33:R33"/>
    <mergeCell ref="C27:F27"/>
    <mergeCell ref="H27:K27"/>
    <mergeCell ref="M27:P27"/>
    <mergeCell ref="R27:U2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H124"/>
  <sheetViews>
    <sheetView tabSelected="1" zoomScale="90" zoomScaleNormal="90" workbookViewId="0">
      <selection activeCell="H21" sqref="H21"/>
    </sheetView>
  </sheetViews>
  <sheetFormatPr defaultRowHeight="14.4" x14ac:dyDescent="0.3"/>
  <cols>
    <col min="1" max="1" width="11.5546875" customWidth="1"/>
    <col min="2" max="2" width="9.6640625" customWidth="1"/>
    <col min="3" max="3" width="7.77734375" customWidth="1"/>
    <col min="4" max="6" width="8.5546875" customWidth="1"/>
    <col min="7" max="7" width="13.33203125" customWidth="1"/>
    <col min="8" max="11" width="8.88671875" customWidth="1"/>
    <col min="12" max="12" width="8.5546875" customWidth="1"/>
    <col min="13" max="13" width="9.5546875" bestFit="1" customWidth="1"/>
    <col min="14" max="14" width="11.88671875" customWidth="1"/>
    <col min="15" max="18" width="8.109375" customWidth="1"/>
    <col min="19" max="22" width="8.5546875" customWidth="1"/>
    <col min="23" max="23" width="6.5546875" customWidth="1"/>
    <col min="24" max="24" width="8.6640625" customWidth="1"/>
    <col min="25" max="25" width="11" customWidth="1"/>
    <col min="26" max="26" width="10.6640625" customWidth="1"/>
    <col min="27" max="29" width="5.5546875" customWidth="1"/>
    <col min="30" max="30" width="11.5546875" customWidth="1"/>
  </cols>
  <sheetData>
    <row r="1" spans="1:29" x14ac:dyDescent="0.3">
      <c r="A1" s="25">
        <f>$W$78*100</f>
        <v>231.49147033691398</v>
      </c>
      <c r="I1" s="31">
        <v>1</v>
      </c>
      <c r="J1" s="31">
        <v>0</v>
      </c>
      <c r="K1" s="31">
        <f>I1</f>
        <v>1</v>
      </c>
      <c r="L1" s="31">
        <f>I1</f>
        <v>1</v>
      </c>
      <c r="M1" s="31">
        <v>0</v>
      </c>
      <c r="N1" s="31">
        <v>0</v>
      </c>
      <c r="O1" s="31">
        <f>M1</f>
        <v>0</v>
      </c>
      <c r="P1" s="31">
        <f>I1</f>
        <v>1</v>
      </c>
      <c r="Q1" s="31">
        <v>0</v>
      </c>
      <c r="R1" s="31">
        <f>N1</f>
        <v>0</v>
      </c>
    </row>
    <row r="2" spans="1:29" x14ac:dyDescent="0.3">
      <c r="A2" t="s">
        <v>87</v>
      </c>
      <c r="D2" s="13"/>
      <c r="E2" s="13"/>
      <c r="F2" s="13"/>
      <c r="G2" s="13"/>
      <c r="H2" s="13"/>
      <c r="I2" s="14" t="s">
        <v>29</v>
      </c>
      <c r="J2" s="14" t="s">
        <v>32</v>
      </c>
      <c r="K2" s="14" t="s">
        <v>31</v>
      </c>
      <c r="L2" s="14" t="s">
        <v>30</v>
      </c>
      <c r="M2" s="14" t="s">
        <v>33</v>
      </c>
      <c r="N2" s="14" t="s">
        <v>34</v>
      </c>
      <c r="O2" s="14" t="s">
        <v>35</v>
      </c>
      <c r="P2" s="14" t="s">
        <v>36</v>
      </c>
      <c r="Q2" s="14" t="s">
        <v>37</v>
      </c>
      <c r="R2" s="14" t="s">
        <v>38</v>
      </c>
    </row>
    <row r="3" spans="1:29" x14ac:dyDescent="0.3">
      <c r="D3" s="38"/>
      <c r="E3" s="38"/>
      <c r="F3" s="38"/>
      <c r="G3" s="38"/>
      <c r="H3" s="38"/>
      <c r="I3" s="23">
        <f>SQRT(7)</f>
        <v>2.6457513110645907</v>
      </c>
      <c r="J3" s="23">
        <v>0</v>
      </c>
      <c r="K3" s="23">
        <f>I3</f>
        <v>2.6457513110645907</v>
      </c>
      <c r="L3" s="23">
        <f>I3</f>
        <v>2.6457513110645907</v>
      </c>
      <c r="M3" s="23">
        <v>0</v>
      </c>
      <c r="N3" s="23">
        <v>0</v>
      </c>
      <c r="O3" s="23">
        <f>M3</f>
        <v>0</v>
      </c>
      <c r="P3" s="23">
        <f>I3</f>
        <v>2.6457513110645907</v>
      </c>
      <c r="Q3" s="23">
        <f>-O3</f>
        <v>0</v>
      </c>
      <c r="R3" s="23">
        <f>N3</f>
        <v>0</v>
      </c>
      <c r="V3" s="24" t="s">
        <v>64</v>
      </c>
      <c r="W3" s="54">
        <f t="array" ref="W3">MDETERM(W72:X73)</f>
        <v>2.3149147033691397</v>
      </c>
      <c r="X3" s="30"/>
    </row>
    <row r="4" spans="1:29" x14ac:dyDescent="0.3">
      <c r="B4" s="6"/>
      <c r="P4" s="19"/>
      <c r="V4" s="24" t="s">
        <v>86</v>
      </c>
      <c r="W4" s="55">
        <f>POWER(SUM(C11:C12)/SUM(C18:C19),2)</f>
        <v>1.890625</v>
      </c>
    </row>
    <row r="5" spans="1:29" ht="16.2" x14ac:dyDescent="0.3">
      <c r="B5" s="6" t="s">
        <v>39</v>
      </c>
      <c r="C5" s="9" t="s">
        <v>29</v>
      </c>
      <c r="D5" s="8">
        <v>0</v>
      </c>
      <c r="E5" s="8">
        <v>0</v>
      </c>
      <c r="F5" s="8">
        <v>0</v>
      </c>
      <c r="G5" s="39" t="s">
        <v>5</v>
      </c>
      <c r="H5" s="9">
        <f>I3</f>
        <v>2.6457513110645907</v>
      </c>
      <c r="I5" s="8">
        <v>0</v>
      </c>
      <c r="J5" s="8">
        <v>0</v>
      </c>
      <c r="K5" s="8">
        <v>0</v>
      </c>
      <c r="N5" s="6" t="s">
        <v>40</v>
      </c>
      <c r="O5" s="22">
        <f t="array" ref="O5:R8">MMULT(H5:K8, TRANSPOSE(H5:K8))</f>
        <v>7.0000000000000009</v>
      </c>
      <c r="P5" s="22">
        <v>0</v>
      </c>
      <c r="Q5" s="22">
        <v>7.0000000000000009</v>
      </c>
      <c r="R5" s="22">
        <v>0</v>
      </c>
    </row>
    <row r="6" spans="1:29" x14ac:dyDescent="0.3">
      <c r="C6" s="9" t="s">
        <v>32</v>
      </c>
      <c r="D6" s="9" t="s">
        <v>31</v>
      </c>
      <c r="E6" s="8">
        <v>0</v>
      </c>
      <c r="F6" s="8">
        <v>0</v>
      </c>
      <c r="H6" s="9">
        <f>J3</f>
        <v>0</v>
      </c>
      <c r="I6" s="9">
        <f>K3</f>
        <v>2.6457513110645907</v>
      </c>
      <c r="J6" s="8">
        <v>0</v>
      </c>
      <c r="K6" s="8">
        <v>0</v>
      </c>
      <c r="O6" s="22">
        <v>0</v>
      </c>
      <c r="P6" s="22">
        <v>7.0000000000000009</v>
      </c>
      <c r="Q6" s="22">
        <v>0</v>
      </c>
      <c r="R6" s="22">
        <v>7.0000000000000009</v>
      </c>
    </row>
    <row r="7" spans="1:29" x14ac:dyDescent="0.3">
      <c r="C7" s="9" t="s">
        <v>30</v>
      </c>
      <c r="D7" s="9" t="s">
        <v>33</v>
      </c>
      <c r="E7" s="9" t="s">
        <v>34</v>
      </c>
      <c r="F7" s="8">
        <v>0</v>
      </c>
      <c r="H7" s="9">
        <f>L3</f>
        <v>2.6457513110645907</v>
      </c>
      <c r="I7" s="9">
        <f>M3</f>
        <v>0</v>
      </c>
      <c r="J7" s="9">
        <f>N3</f>
        <v>0</v>
      </c>
      <c r="K7" s="8">
        <v>0</v>
      </c>
      <c r="O7" s="22">
        <v>7.0000000000000009</v>
      </c>
      <c r="P7" s="22">
        <v>0</v>
      </c>
      <c r="Q7" s="22">
        <v>7.0000000000000009</v>
      </c>
      <c r="R7" s="22">
        <v>0</v>
      </c>
    </row>
    <row r="8" spans="1:29" x14ac:dyDescent="0.3">
      <c r="C8" s="9" t="s">
        <v>35</v>
      </c>
      <c r="D8" s="9" t="s">
        <v>36</v>
      </c>
      <c r="E8" s="9" t="s">
        <v>37</v>
      </c>
      <c r="F8" s="9" t="s">
        <v>38</v>
      </c>
      <c r="H8" s="9">
        <f>O3</f>
        <v>0</v>
      </c>
      <c r="I8" s="9">
        <f>P3</f>
        <v>2.6457513110645907</v>
      </c>
      <c r="J8" s="9">
        <f>Q3</f>
        <v>0</v>
      </c>
      <c r="K8" s="9">
        <f>R3</f>
        <v>0</v>
      </c>
      <c r="O8" s="22">
        <v>0</v>
      </c>
      <c r="P8" s="22">
        <v>7.0000000000000009</v>
      </c>
      <c r="Q8" s="22">
        <v>0</v>
      </c>
      <c r="R8" s="22">
        <v>7.0000000000000009</v>
      </c>
    </row>
    <row r="9" spans="1:29" x14ac:dyDescent="0.3">
      <c r="O9" s="37"/>
      <c r="P9" s="48"/>
      <c r="Q9" s="19"/>
      <c r="R9" s="47"/>
    </row>
    <row r="10" spans="1:29" x14ac:dyDescent="0.3">
      <c r="K10" s="67" t="s">
        <v>90</v>
      </c>
      <c r="L10">
        <f>(1 + Kappa1*Kappa2/(4*N*N))</f>
        <v>1.3061224489795917</v>
      </c>
      <c r="N10" s="48"/>
      <c r="O10" s="37"/>
      <c r="Q10" s="37"/>
      <c r="R10" s="47"/>
    </row>
    <row r="11" spans="1:29" x14ac:dyDescent="0.3">
      <c r="B11" s="6" t="s">
        <v>82</v>
      </c>
      <c r="C11" s="10">
        <v>12</v>
      </c>
      <c r="E11" s="62"/>
      <c r="H11" s="20"/>
      <c r="I11" s="20"/>
      <c r="N11" s="48"/>
      <c r="O11" s="37"/>
    </row>
    <row r="12" spans="1:29" x14ac:dyDescent="0.3">
      <c r="B12" s="6" t="s">
        <v>83</v>
      </c>
      <c r="C12" s="10">
        <v>10</v>
      </c>
      <c r="E12">
        <f>(Chi_1+Chi_2) / (Kappa1+Kappa2)</f>
        <v>1.375</v>
      </c>
      <c r="H12" s="64">
        <f>(E12 + Chi_1*Kappa2/(4*N*N))   /  L10</f>
        <v>1.521484375</v>
      </c>
    </row>
    <row r="13" spans="1:29" x14ac:dyDescent="0.3">
      <c r="B13" s="6" t="s">
        <v>44</v>
      </c>
      <c r="C13" s="9">
        <f>C11</f>
        <v>12</v>
      </c>
      <c r="D13" s="10">
        <v>0</v>
      </c>
      <c r="E13" s="10">
        <v>0</v>
      </c>
      <c r="F13" s="10">
        <v>0</v>
      </c>
      <c r="H13" s="63">
        <f t="shared" ref="H13:K16" si="0">W72</f>
        <v>1.5214843749999998</v>
      </c>
      <c r="I13" s="20">
        <f t="shared" si="0"/>
        <v>-6.9388939039072284E-17</v>
      </c>
      <c r="J13" s="20">
        <f t="shared" si="0"/>
        <v>1.6653345369377348E-16</v>
      </c>
      <c r="K13" s="63">
        <f t="shared" si="0"/>
        <v>-0.205078125</v>
      </c>
      <c r="L13" s="68">
        <f>(Chi_1*Kappa2-Kappa1*Chi_2)/((Kappa1+Kappa2)*2*N)/L10</f>
        <v>0.205078125</v>
      </c>
      <c r="N13" s="6" t="s">
        <v>41</v>
      </c>
      <c r="O13" s="34">
        <v>0</v>
      </c>
      <c r="P13" s="34">
        <v>1</v>
      </c>
      <c r="Q13" s="8">
        <v>0</v>
      </c>
      <c r="R13" s="8">
        <v>0</v>
      </c>
      <c r="U13" s="9" t="s">
        <v>29</v>
      </c>
      <c r="V13" s="8">
        <v>0</v>
      </c>
      <c r="W13" s="8">
        <v>0</v>
      </c>
      <c r="X13" s="8">
        <v>0</v>
      </c>
      <c r="Z13" s="9" t="s">
        <v>29</v>
      </c>
      <c r="AA13" s="9" t="s">
        <v>32</v>
      </c>
      <c r="AB13" s="9" t="s">
        <v>30</v>
      </c>
      <c r="AC13" s="9" t="s">
        <v>35</v>
      </c>
    </row>
    <row r="14" spans="1:29" x14ac:dyDescent="0.3">
      <c r="C14" s="10">
        <v>0</v>
      </c>
      <c r="D14" s="9">
        <f>C13</f>
        <v>12</v>
      </c>
      <c r="E14" s="10">
        <v>0</v>
      </c>
      <c r="F14" s="10">
        <v>0</v>
      </c>
      <c r="H14" s="20">
        <f t="shared" si="0"/>
        <v>2.7755575615628914E-17</v>
      </c>
      <c r="I14" s="20">
        <f t="shared" si="0"/>
        <v>1.5214843749999998</v>
      </c>
      <c r="J14" s="20">
        <f t="shared" si="0"/>
        <v>0.20507812500000008</v>
      </c>
      <c r="K14" s="20">
        <f t="shared" si="0"/>
        <v>1.6653345369377348E-16</v>
      </c>
      <c r="L14" s="20"/>
      <c r="O14" s="34">
        <v>-1</v>
      </c>
      <c r="P14" s="34">
        <v>0</v>
      </c>
      <c r="Q14" s="8">
        <v>0</v>
      </c>
      <c r="R14" s="8">
        <v>0</v>
      </c>
      <c r="U14" s="9" t="s">
        <v>32</v>
      </c>
      <c r="V14" s="9" t="s">
        <v>31</v>
      </c>
      <c r="W14" s="8">
        <v>0</v>
      </c>
      <c r="X14" s="8">
        <v>0</v>
      </c>
      <c r="Z14" s="8">
        <v>0</v>
      </c>
      <c r="AA14" s="9" t="s">
        <v>31</v>
      </c>
      <c r="AB14" s="9" t="s">
        <v>33</v>
      </c>
      <c r="AC14" s="9" t="s">
        <v>36</v>
      </c>
    </row>
    <row r="15" spans="1:29" x14ac:dyDescent="0.3">
      <c r="C15" s="10">
        <v>0</v>
      </c>
      <c r="D15" s="10">
        <v>0</v>
      </c>
      <c r="E15" s="9">
        <f>C12</f>
        <v>10</v>
      </c>
      <c r="F15" s="10">
        <v>0</v>
      </c>
      <c r="H15" s="20">
        <f t="shared" si="0"/>
        <v>8.3266726846886741E-17</v>
      </c>
      <c r="I15" s="20">
        <f t="shared" si="0"/>
        <v>0.20507812500000011</v>
      </c>
      <c r="J15" s="20">
        <f t="shared" si="0"/>
        <v>1.287109375</v>
      </c>
      <c r="K15" s="20">
        <f t="shared" si="0"/>
        <v>-1.3877787807814457E-16</v>
      </c>
      <c r="O15" s="8">
        <v>0</v>
      </c>
      <c r="P15" s="8">
        <v>0</v>
      </c>
      <c r="Q15" s="34">
        <v>0</v>
      </c>
      <c r="R15" s="34">
        <v>1</v>
      </c>
      <c r="U15" s="9" t="s">
        <v>30</v>
      </c>
      <c r="V15" s="9" t="s">
        <v>33</v>
      </c>
      <c r="W15" s="9" t="s">
        <v>34</v>
      </c>
      <c r="X15" s="8">
        <v>0</v>
      </c>
      <c r="Z15" s="8">
        <v>0</v>
      </c>
      <c r="AA15" s="8">
        <v>0</v>
      </c>
      <c r="AB15" s="9" t="s">
        <v>34</v>
      </c>
      <c r="AC15" s="9" t="s">
        <v>37</v>
      </c>
    </row>
    <row r="16" spans="1:29" x14ac:dyDescent="0.3">
      <c r="C16" s="10">
        <v>0</v>
      </c>
      <c r="D16" s="10">
        <v>0</v>
      </c>
      <c r="E16" s="10">
        <v>0</v>
      </c>
      <c r="F16" s="9">
        <f>E15</f>
        <v>10</v>
      </c>
      <c r="H16" s="20">
        <f t="shared" si="0"/>
        <v>-0.20507812499999992</v>
      </c>
      <c r="I16" s="20">
        <f t="shared" si="0"/>
        <v>1.9428902930940239E-16</v>
      </c>
      <c r="J16" s="20">
        <f t="shared" si="0"/>
        <v>0</v>
      </c>
      <c r="K16" s="63">
        <f t="shared" si="0"/>
        <v>1.287109375</v>
      </c>
      <c r="L16" s="63">
        <f>(E12 + Chi_2*Kappa1/(4*N*N))   / L10</f>
        <v>1.287109375</v>
      </c>
      <c r="M16" s="20"/>
      <c r="O16" s="8">
        <v>0</v>
      </c>
      <c r="P16" s="8">
        <v>0</v>
      </c>
      <c r="Q16" s="34">
        <v>-1</v>
      </c>
      <c r="R16" s="34">
        <v>0</v>
      </c>
      <c r="U16" s="9" t="s">
        <v>35</v>
      </c>
      <c r="V16" s="9" t="s">
        <v>36</v>
      </c>
      <c r="W16" s="9" t="s">
        <v>37</v>
      </c>
      <c r="X16" s="9" t="s">
        <v>38</v>
      </c>
      <c r="Z16" s="8">
        <v>0</v>
      </c>
      <c r="AA16" s="8">
        <v>0</v>
      </c>
      <c r="AB16" s="8">
        <v>0</v>
      </c>
      <c r="AC16" s="9" t="s">
        <v>38</v>
      </c>
    </row>
    <row r="17" spans="2:26" x14ac:dyDescent="0.3">
      <c r="H17" s="51"/>
      <c r="I17" s="57"/>
      <c r="M17" s="48"/>
    </row>
    <row r="18" spans="2:26" x14ac:dyDescent="0.3">
      <c r="B18" s="6" t="s">
        <v>84</v>
      </c>
      <c r="C18" s="10">
        <v>6</v>
      </c>
      <c r="E18" s="19"/>
      <c r="F18">
        <f>(1+Chi_1-Chi_2) / (4*N)</f>
        <v>0.10714285714285712</v>
      </c>
      <c r="M18" s="20"/>
    </row>
    <row r="19" spans="2:26" x14ac:dyDescent="0.3">
      <c r="B19" s="6" t="s">
        <v>85</v>
      </c>
      <c r="C19" s="10">
        <v>10</v>
      </c>
    </row>
    <row r="20" spans="2:26" x14ac:dyDescent="0.3">
      <c r="C20" s="10">
        <v>-0.5</v>
      </c>
      <c r="H20" s="71" t="s">
        <v>79</v>
      </c>
      <c r="I20" s="69"/>
      <c r="J20" s="69"/>
      <c r="K20" s="69"/>
      <c r="U20" s="65" t="s">
        <v>88</v>
      </c>
      <c r="V20" s="66">
        <f>0.5*(C18+C19)</f>
        <v>8</v>
      </c>
    </row>
    <row r="21" spans="2:26" x14ac:dyDescent="0.3">
      <c r="B21" s="6" t="s">
        <v>42</v>
      </c>
      <c r="C21" s="11">
        <f>C20*C18</f>
        <v>-3</v>
      </c>
      <c r="D21" s="10">
        <v>0</v>
      </c>
      <c r="E21" s="10">
        <v>0</v>
      </c>
      <c r="F21" s="10">
        <v>0</v>
      </c>
      <c r="G21" s="39" t="s">
        <v>3</v>
      </c>
      <c r="H21" s="17">
        <f t="array" ref="H21:K24">MMULT(Symplectic, Hamiltonian)</f>
        <v>0</v>
      </c>
      <c r="I21" s="17">
        <v>7.0000000000000009</v>
      </c>
      <c r="J21" s="17">
        <v>0</v>
      </c>
      <c r="K21" s="17">
        <v>7.0000000000000009</v>
      </c>
      <c r="M21" s="39" t="s">
        <v>5</v>
      </c>
      <c r="O21" s="17">
        <f>C21 + H21</f>
        <v>-3</v>
      </c>
      <c r="P21" s="17">
        <f>D21 + I21</f>
        <v>7.0000000000000009</v>
      </c>
      <c r="Q21" s="17">
        <f t="shared" ref="P21:R24" si="1">E21 + J21</f>
        <v>0</v>
      </c>
      <c r="R21" s="17">
        <f t="shared" si="1"/>
        <v>7.0000000000000009</v>
      </c>
      <c r="U21" s="65"/>
      <c r="V21" s="66">
        <f>2*O5^2 * SUM(C11:C12) + C11*C19*V20</f>
        <v>3116.0000000000005</v>
      </c>
    </row>
    <row r="22" spans="2:26" x14ac:dyDescent="0.3">
      <c r="C22" s="10">
        <v>0</v>
      </c>
      <c r="D22" s="11">
        <f>C21</f>
        <v>-3</v>
      </c>
      <c r="E22" s="10">
        <v>0</v>
      </c>
      <c r="F22" s="10">
        <v>0</v>
      </c>
      <c r="H22" s="17">
        <v>-7.0000000000000009</v>
      </c>
      <c r="I22" s="17">
        <v>0</v>
      </c>
      <c r="J22" s="17">
        <v>-7.0000000000000009</v>
      </c>
      <c r="K22" s="17">
        <v>0</v>
      </c>
      <c r="O22" s="17">
        <f t="shared" ref="O22:O24" si="2">C22 + H22</f>
        <v>-7.0000000000000009</v>
      </c>
      <c r="P22" s="17">
        <f t="shared" si="1"/>
        <v>-3</v>
      </c>
      <c r="Q22" s="17">
        <f t="shared" si="1"/>
        <v>-7.0000000000000009</v>
      </c>
      <c r="R22" s="17">
        <f t="shared" si="1"/>
        <v>0</v>
      </c>
      <c r="U22" s="65"/>
      <c r="V22" s="66">
        <f>O5^2 * (4*V20) + C18*C19*V20</f>
        <v>2048.0000000000005</v>
      </c>
    </row>
    <row r="23" spans="2:26" x14ac:dyDescent="0.3">
      <c r="C23" s="10">
        <v>0</v>
      </c>
      <c r="D23" s="10">
        <v>0</v>
      </c>
      <c r="E23" s="11">
        <f>C20*C19</f>
        <v>-5</v>
      </c>
      <c r="F23" s="10">
        <v>0</v>
      </c>
      <c r="H23" s="22">
        <v>0</v>
      </c>
      <c r="I23" s="22">
        <v>7.0000000000000009</v>
      </c>
      <c r="J23" s="17">
        <v>0</v>
      </c>
      <c r="K23" s="17">
        <v>7.0000000000000009</v>
      </c>
      <c r="O23" s="17">
        <f t="shared" si="2"/>
        <v>0</v>
      </c>
      <c r="P23" s="17">
        <f t="shared" si="1"/>
        <v>7.0000000000000009</v>
      </c>
      <c r="Q23" s="17">
        <f t="shared" si="1"/>
        <v>-5</v>
      </c>
      <c r="R23" s="17">
        <f t="shared" si="1"/>
        <v>7.0000000000000009</v>
      </c>
      <c r="U23" s="65" t="s">
        <v>89</v>
      </c>
      <c r="V23" s="66">
        <f>V21/V22</f>
        <v>1.5214843749999998</v>
      </c>
    </row>
    <row r="24" spans="2:26" x14ac:dyDescent="0.3">
      <c r="C24" s="10">
        <v>0</v>
      </c>
      <c r="D24" s="10">
        <v>0</v>
      </c>
      <c r="E24" s="10">
        <v>0</v>
      </c>
      <c r="F24" s="11">
        <f>E23</f>
        <v>-5</v>
      </c>
      <c r="H24" s="22">
        <v>-7.0000000000000009</v>
      </c>
      <c r="I24" s="22">
        <v>0</v>
      </c>
      <c r="J24" s="17">
        <v>-7.0000000000000009</v>
      </c>
      <c r="K24" s="17">
        <v>0</v>
      </c>
      <c r="O24" s="17">
        <f t="shared" si="2"/>
        <v>-7.0000000000000009</v>
      </c>
      <c r="P24" s="17">
        <f t="shared" si="1"/>
        <v>0</v>
      </c>
      <c r="Q24" s="17">
        <f t="shared" si="1"/>
        <v>-7.0000000000000009</v>
      </c>
      <c r="R24" s="17">
        <f t="shared" si="1"/>
        <v>-5</v>
      </c>
      <c r="U24" s="66"/>
      <c r="V24" s="66" t="b">
        <f>V23=H13</f>
        <v>1</v>
      </c>
    </row>
    <row r="26" spans="2:26" x14ac:dyDescent="0.3">
      <c r="B26" s="6" t="s">
        <v>62</v>
      </c>
      <c r="C26" s="15">
        <v>1</v>
      </c>
      <c r="D26" s="16">
        <v>0</v>
      </c>
      <c r="E26" s="16">
        <v>0</v>
      </c>
      <c r="F26" s="16">
        <v>0</v>
      </c>
      <c r="H26">
        <f>SUM(Chi_1,Chi_2) / SUM(Kappa1,Kappa2)</f>
        <v>1.375</v>
      </c>
      <c r="I26">
        <v>0</v>
      </c>
      <c r="J26">
        <v>0</v>
      </c>
      <c r="K26">
        <f>(H12*Kappa1/2-Chi_1/2) / N</f>
        <v>-0.20507812499999997</v>
      </c>
      <c r="L26" s="36"/>
      <c r="O26">
        <f t="array" ref="O26:R29" xml:space="preserve"> MMULT(C32:F35,H26:K29) + MMULT(H26:K29, R32:U35)</f>
        <v>-11.12109375</v>
      </c>
      <c r="P26">
        <v>0</v>
      </c>
      <c r="Q26">
        <v>0</v>
      </c>
      <c r="R26">
        <v>1.640625</v>
      </c>
      <c r="U26">
        <f>Kappa1*H12</f>
        <v>9.12890625</v>
      </c>
      <c r="V26">
        <f>2*N*(H12-L16)</f>
        <v>3.2812500000000004</v>
      </c>
    </row>
    <row r="27" spans="2:26" x14ac:dyDescent="0.3">
      <c r="C27" s="16">
        <v>0</v>
      </c>
      <c r="D27" s="15">
        <v>1</v>
      </c>
      <c r="E27" s="16">
        <v>0</v>
      </c>
      <c r="F27" s="16">
        <v>0</v>
      </c>
      <c r="H27">
        <v>0</v>
      </c>
      <c r="I27">
        <f>H26</f>
        <v>1.375</v>
      </c>
      <c r="J27">
        <f>-K26</f>
        <v>0.20507812499999997</v>
      </c>
      <c r="K27">
        <v>0</v>
      </c>
      <c r="O27">
        <v>0</v>
      </c>
      <c r="P27">
        <v>-11.12109375</v>
      </c>
      <c r="Q27">
        <v>-1.640625</v>
      </c>
      <c r="R27">
        <v>0</v>
      </c>
      <c r="U27">
        <f>Kappa2 * L16</f>
        <v>12.87109375</v>
      </c>
      <c r="V27">
        <f>V26/(Kappa1+Kappa2)</f>
        <v>0.20507812500000003</v>
      </c>
    </row>
    <row r="28" spans="2:26" x14ac:dyDescent="0.3">
      <c r="C28" s="16">
        <v>0</v>
      </c>
      <c r="D28" s="16">
        <v>0</v>
      </c>
      <c r="E28" s="15">
        <v>1</v>
      </c>
      <c r="F28" s="16">
        <v>0</v>
      </c>
      <c r="H28">
        <v>0</v>
      </c>
      <c r="I28">
        <f>J27</f>
        <v>0.20507812499999997</v>
      </c>
      <c r="J28">
        <f>I27</f>
        <v>1.375</v>
      </c>
      <c r="K28">
        <v>0</v>
      </c>
      <c r="O28">
        <v>0</v>
      </c>
      <c r="P28">
        <v>-1.640625</v>
      </c>
      <c r="Q28">
        <v>-10.87890625</v>
      </c>
      <c r="R28">
        <v>0</v>
      </c>
      <c r="U28">
        <f>U26-U27</f>
        <v>-3.7421875</v>
      </c>
    </row>
    <row r="29" spans="2:26" x14ac:dyDescent="0.3">
      <c r="C29" s="16">
        <v>0</v>
      </c>
      <c r="D29" s="16">
        <v>0</v>
      </c>
      <c r="E29" s="16">
        <v>0</v>
      </c>
      <c r="F29" s="15">
        <v>1</v>
      </c>
      <c r="H29">
        <f>-I28</f>
        <v>-0.20507812499999997</v>
      </c>
      <c r="I29">
        <v>0</v>
      </c>
      <c r="J29">
        <v>0</v>
      </c>
      <c r="K29">
        <f>J28</f>
        <v>1.375</v>
      </c>
      <c r="O29">
        <v>1.640625</v>
      </c>
      <c r="P29">
        <v>0</v>
      </c>
      <c r="Q29">
        <v>0</v>
      </c>
      <c r="R29">
        <v>-10.87890625</v>
      </c>
      <c r="U29">
        <f>Chi_1-Chi_2</f>
        <v>2</v>
      </c>
    </row>
    <row r="30" spans="2:26" x14ac:dyDescent="0.3">
      <c r="U30">
        <f>U29/(4*N*U28)</f>
        <v>-1.908738443185207E-2</v>
      </c>
    </row>
    <row r="31" spans="2:26" x14ac:dyDescent="0.3">
      <c r="C31" s="69" t="s">
        <v>0</v>
      </c>
      <c r="D31" s="69"/>
      <c r="E31" s="69"/>
      <c r="F31" s="69"/>
      <c r="G31" s="39" t="s">
        <v>45</v>
      </c>
      <c r="H31" s="69" t="s">
        <v>65</v>
      </c>
      <c r="I31" s="69"/>
      <c r="J31" s="69"/>
      <c r="K31" s="69"/>
      <c r="L31" s="38" t="s">
        <v>3</v>
      </c>
      <c r="M31" s="69" t="s">
        <v>65</v>
      </c>
      <c r="N31" s="69"/>
      <c r="O31" s="69"/>
      <c r="P31" s="69"/>
      <c r="Q31" s="39" t="s">
        <v>45</v>
      </c>
      <c r="R31" s="69" t="s">
        <v>15</v>
      </c>
      <c r="S31" s="69"/>
      <c r="T31" s="69"/>
      <c r="U31" s="69"/>
      <c r="V31" s="39" t="s">
        <v>5</v>
      </c>
      <c r="W31" s="69" t="s">
        <v>66</v>
      </c>
      <c r="X31" s="69"/>
      <c r="Y31" s="69"/>
      <c r="Z31" s="69"/>
    </row>
    <row r="32" spans="2:26" x14ac:dyDescent="0.3">
      <c r="C32" s="17">
        <f t="array" ref="C32:F35">Drift</f>
        <v>-3</v>
      </c>
      <c r="D32" s="17">
        <v>7.0000000000000009</v>
      </c>
      <c r="E32" s="17">
        <v>0</v>
      </c>
      <c r="F32" s="17">
        <v>7.0000000000000009</v>
      </c>
      <c r="G32" s="39" t="s">
        <v>45</v>
      </c>
      <c r="H32" s="9" t="s">
        <v>46</v>
      </c>
      <c r="I32" s="9" t="s">
        <v>47</v>
      </c>
      <c r="J32" s="9" t="s">
        <v>48</v>
      </c>
      <c r="K32" s="9" t="s">
        <v>49</v>
      </c>
      <c r="L32" s="38" t="s">
        <v>3</v>
      </c>
      <c r="M32" s="9" t="s">
        <v>46</v>
      </c>
      <c r="N32" s="9" t="s">
        <v>47</v>
      </c>
      <c r="O32" s="9" t="s">
        <v>48</v>
      </c>
      <c r="P32" s="9" t="s">
        <v>49</v>
      </c>
      <c r="Q32" s="39" t="s">
        <v>45</v>
      </c>
      <c r="R32" s="17">
        <f t="array" ref="R32:U35">TRANSPOSE(Drift)</f>
        <v>-3</v>
      </c>
      <c r="S32" s="17">
        <v>-7.0000000000000009</v>
      </c>
      <c r="T32" s="17">
        <v>0</v>
      </c>
      <c r="U32" s="17">
        <v>-7.0000000000000009</v>
      </c>
      <c r="V32" s="39" t="s">
        <v>5</v>
      </c>
      <c r="W32" s="9">
        <f t="array" ref="W32:Z35">-Diffusion</f>
        <v>-12</v>
      </c>
      <c r="X32" s="9">
        <v>0</v>
      </c>
      <c r="Y32" s="9">
        <v>0</v>
      </c>
      <c r="Z32" s="9">
        <v>0</v>
      </c>
    </row>
    <row r="33" spans="3:26" x14ac:dyDescent="0.3">
      <c r="C33" s="17">
        <v>-7.0000000000000009</v>
      </c>
      <c r="D33" s="17">
        <v>-3</v>
      </c>
      <c r="E33" s="17">
        <v>-7.0000000000000009</v>
      </c>
      <c r="F33" s="17">
        <v>0</v>
      </c>
      <c r="H33" s="9" t="s">
        <v>50</v>
      </c>
      <c r="I33" s="9" t="s">
        <v>51</v>
      </c>
      <c r="J33" s="9" t="s">
        <v>52</v>
      </c>
      <c r="K33" s="9" t="s">
        <v>53</v>
      </c>
      <c r="M33" s="9" t="s">
        <v>50</v>
      </c>
      <c r="N33" s="9" t="s">
        <v>51</v>
      </c>
      <c r="O33" s="9" t="s">
        <v>52</v>
      </c>
      <c r="P33" s="9" t="s">
        <v>53</v>
      </c>
      <c r="R33" s="17">
        <v>7.0000000000000009</v>
      </c>
      <c r="S33" s="17">
        <v>-3</v>
      </c>
      <c r="T33" s="17">
        <v>7.0000000000000009</v>
      </c>
      <c r="U33" s="17">
        <v>0</v>
      </c>
      <c r="W33" s="9">
        <v>0</v>
      </c>
      <c r="X33" s="9">
        <v>-12</v>
      </c>
      <c r="Y33" s="9">
        <v>0</v>
      </c>
      <c r="Z33" s="9">
        <v>0</v>
      </c>
    </row>
    <row r="34" spans="3:26" x14ac:dyDescent="0.3">
      <c r="C34" s="17">
        <v>0</v>
      </c>
      <c r="D34" s="17">
        <v>7.0000000000000009</v>
      </c>
      <c r="E34" s="17">
        <v>-5</v>
      </c>
      <c r="F34" s="17">
        <v>7.0000000000000009</v>
      </c>
      <c r="H34" s="9" t="s">
        <v>54</v>
      </c>
      <c r="I34" s="9" t="s">
        <v>56</v>
      </c>
      <c r="J34" s="9" t="s">
        <v>57</v>
      </c>
      <c r="K34" s="9" t="s">
        <v>58</v>
      </c>
      <c r="M34" s="9" t="s">
        <v>54</v>
      </c>
      <c r="N34" s="9" t="s">
        <v>56</v>
      </c>
      <c r="O34" s="9" t="s">
        <v>57</v>
      </c>
      <c r="P34" s="9" t="s">
        <v>58</v>
      </c>
      <c r="R34" s="17">
        <v>0</v>
      </c>
      <c r="S34" s="17">
        <v>-7.0000000000000009</v>
      </c>
      <c r="T34" s="17">
        <v>-5</v>
      </c>
      <c r="U34" s="17">
        <v>-7.0000000000000009</v>
      </c>
      <c r="W34" s="9">
        <v>0</v>
      </c>
      <c r="X34" s="9">
        <v>0</v>
      </c>
      <c r="Y34" s="9">
        <v>-10</v>
      </c>
      <c r="Z34" s="9">
        <v>0</v>
      </c>
    </row>
    <row r="35" spans="3:26" x14ac:dyDescent="0.3">
      <c r="C35" s="17">
        <v>-7.0000000000000009</v>
      </c>
      <c r="D35" s="17">
        <v>0</v>
      </c>
      <c r="E35" s="17">
        <v>-7.0000000000000009</v>
      </c>
      <c r="F35" s="17">
        <v>-5</v>
      </c>
      <c r="H35" s="9" t="s">
        <v>55</v>
      </c>
      <c r="I35" s="9" t="s">
        <v>59</v>
      </c>
      <c r="J35" s="9" t="s">
        <v>60</v>
      </c>
      <c r="K35" s="9" t="s">
        <v>61</v>
      </c>
      <c r="M35" s="9" t="s">
        <v>55</v>
      </c>
      <c r="N35" s="9" t="s">
        <v>59</v>
      </c>
      <c r="O35" s="9" t="s">
        <v>60</v>
      </c>
      <c r="P35" s="9" t="s">
        <v>61</v>
      </c>
      <c r="R35" s="17">
        <v>7.0000000000000009</v>
      </c>
      <c r="S35" s="17">
        <v>0</v>
      </c>
      <c r="T35" s="17">
        <v>7.0000000000000009</v>
      </c>
      <c r="U35" s="17">
        <v>-5</v>
      </c>
      <c r="W35" s="9">
        <v>0</v>
      </c>
      <c r="X35" s="9">
        <v>0</v>
      </c>
      <c r="Y35" s="9">
        <v>0</v>
      </c>
      <c r="Z35" s="9">
        <v>-10</v>
      </c>
    </row>
    <row r="37" spans="3:26" x14ac:dyDescent="0.3">
      <c r="C37" s="69" t="s">
        <v>67</v>
      </c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T37" t="s">
        <v>68</v>
      </c>
      <c r="W37" t="s">
        <v>69</v>
      </c>
    </row>
    <row r="38" spans="3:26" x14ac:dyDescent="0.3">
      <c r="C38" s="17">
        <f t="array" ref="C38:R53">KroneckerProduct(Identity,Drift) + KroneckerProduct(Drift, Identity)</f>
        <v>-6</v>
      </c>
      <c r="D38" s="17">
        <v>7.0000000000000009</v>
      </c>
      <c r="E38" s="17">
        <v>0</v>
      </c>
      <c r="F38" s="17">
        <v>7.0000000000000009</v>
      </c>
      <c r="G38" s="17">
        <v>7.0000000000000009</v>
      </c>
      <c r="H38" s="17">
        <v>0</v>
      </c>
      <c r="I38" s="17">
        <v>0</v>
      </c>
      <c r="J38" s="17">
        <v>0</v>
      </c>
      <c r="K38" s="17">
        <v>0</v>
      </c>
      <c r="L38" s="17">
        <v>0</v>
      </c>
      <c r="M38" s="17">
        <v>0</v>
      </c>
      <c r="N38" s="17">
        <v>0</v>
      </c>
      <c r="O38" s="17">
        <v>7.0000000000000009</v>
      </c>
      <c r="P38" s="17">
        <v>0</v>
      </c>
      <c r="Q38" s="17">
        <v>0</v>
      </c>
      <c r="R38" s="17">
        <v>0</v>
      </c>
      <c r="S38" s="39" t="s">
        <v>45</v>
      </c>
      <c r="T38" s="9" t="str">
        <f t="array" ref="T38:T53">Vec(H32:K35)</f>
        <v>x11</v>
      </c>
      <c r="V38" s="39" t="s">
        <v>5</v>
      </c>
      <c r="W38" s="9">
        <f t="array" ref="W38:W53">Vec(W32:Z35)</f>
        <v>-12</v>
      </c>
    </row>
    <row r="39" spans="3:26" x14ac:dyDescent="0.3">
      <c r="C39" s="17">
        <v>-7.0000000000000009</v>
      </c>
      <c r="D39" s="17">
        <v>-6</v>
      </c>
      <c r="E39" s="17">
        <v>-7.0000000000000009</v>
      </c>
      <c r="F39" s="17">
        <v>0</v>
      </c>
      <c r="G39" s="17">
        <v>0</v>
      </c>
      <c r="H39" s="17">
        <v>7.0000000000000009</v>
      </c>
      <c r="I39" s="17">
        <v>0</v>
      </c>
      <c r="J39" s="17">
        <v>0</v>
      </c>
      <c r="K39" s="17">
        <v>0</v>
      </c>
      <c r="L39" s="17">
        <v>0</v>
      </c>
      <c r="M39" s="17">
        <v>0</v>
      </c>
      <c r="N39" s="17">
        <v>0</v>
      </c>
      <c r="O39" s="17">
        <v>0</v>
      </c>
      <c r="P39" s="17">
        <v>7.0000000000000009</v>
      </c>
      <c r="Q39" s="17">
        <v>0</v>
      </c>
      <c r="R39" s="17">
        <v>0</v>
      </c>
      <c r="T39" s="9" t="str">
        <v>x21</v>
      </c>
      <c r="W39" s="9">
        <v>0</v>
      </c>
    </row>
    <row r="40" spans="3:26" x14ac:dyDescent="0.3">
      <c r="C40" s="17">
        <v>0</v>
      </c>
      <c r="D40" s="17">
        <v>7.0000000000000009</v>
      </c>
      <c r="E40" s="17">
        <v>-8</v>
      </c>
      <c r="F40" s="17">
        <v>7.0000000000000009</v>
      </c>
      <c r="G40" s="17">
        <v>0</v>
      </c>
      <c r="H40" s="17">
        <v>0</v>
      </c>
      <c r="I40" s="17">
        <v>7.0000000000000009</v>
      </c>
      <c r="J40" s="17">
        <v>0</v>
      </c>
      <c r="K40" s="17">
        <v>0</v>
      </c>
      <c r="L40" s="17">
        <v>0</v>
      </c>
      <c r="M40" s="17">
        <v>0</v>
      </c>
      <c r="N40" s="17">
        <v>0</v>
      </c>
      <c r="O40" s="17">
        <v>0</v>
      </c>
      <c r="P40" s="17">
        <v>0</v>
      </c>
      <c r="Q40" s="17">
        <v>7.0000000000000009</v>
      </c>
      <c r="R40" s="17">
        <v>0</v>
      </c>
      <c r="T40" s="9" t="str">
        <v>x31</v>
      </c>
      <c r="W40" s="9">
        <v>0</v>
      </c>
    </row>
    <row r="41" spans="3:26" x14ac:dyDescent="0.3">
      <c r="C41" s="17">
        <v>-7.0000000000000009</v>
      </c>
      <c r="D41" s="17">
        <v>0</v>
      </c>
      <c r="E41" s="17">
        <v>-7.0000000000000009</v>
      </c>
      <c r="F41" s="17">
        <v>-8</v>
      </c>
      <c r="G41" s="17">
        <v>0</v>
      </c>
      <c r="H41" s="17">
        <v>0</v>
      </c>
      <c r="I41" s="17">
        <v>0</v>
      </c>
      <c r="J41" s="17">
        <v>7.0000000000000009</v>
      </c>
      <c r="K41" s="17">
        <v>0</v>
      </c>
      <c r="L41" s="17">
        <v>0</v>
      </c>
      <c r="M41" s="17">
        <v>0</v>
      </c>
      <c r="N41" s="17">
        <v>0</v>
      </c>
      <c r="O41" s="17">
        <v>0</v>
      </c>
      <c r="P41" s="17">
        <v>0</v>
      </c>
      <c r="Q41" s="17">
        <v>0</v>
      </c>
      <c r="R41" s="17">
        <v>7.0000000000000009</v>
      </c>
      <c r="T41" s="9" t="str">
        <v>x41</v>
      </c>
      <c r="W41" s="9">
        <v>0</v>
      </c>
    </row>
    <row r="42" spans="3:26" x14ac:dyDescent="0.3">
      <c r="C42" s="17">
        <v>-7.0000000000000009</v>
      </c>
      <c r="D42" s="17">
        <v>0</v>
      </c>
      <c r="E42" s="17">
        <v>0</v>
      </c>
      <c r="F42" s="17">
        <v>0</v>
      </c>
      <c r="G42" s="17">
        <v>-6</v>
      </c>
      <c r="H42" s="17">
        <v>7.0000000000000009</v>
      </c>
      <c r="I42" s="17">
        <v>0</v>
      </c>
      <c r="J42" s="17">
        <v>7.0000000000000009</v>
      </c>
      <c r="K42" s="17">
        <v>-7.0000000000000009</v>
      </c>
      <c r="L42" s="17">
        <v>0</v>
      </c>
      <c r="M42" s="17">
        <v>0</v>
      </c>
      <c r="N42" s="17">
        <v>0</v>
      </c>
      <c r="O42" s="17">
        <v>0</v>
      </c>
      <c r="P42" s="17">
        <v>0</v>
      </c>
      <c r="Q42" s="17">
        <v>0</v>
      </c>
      <c r="R42" s="17">
        <v>0</v>
      </c>
      <c r="T42" s="9" t="str">
        <v>x12</v>
      </c>
      <c r="W42" s="9">
        <v>0</v>
      </c>
    </row>
    <row r="43" spans="3:26" x14ac:dyDescent="0.3">
      <c r="C43" s="17">
        <v>0</v>
      </c>
      <c r="D43" s="17">
        <v>-7.0000000000000009</v>
      </c>
      <c r="E43" s="17">
        <v>0</v>
      </c>
      <c r="F43" s="17">
        <v>0</v>
      </c>
      <c r="G43" s="17">
        <v>-7.0000000000000009</v>
      </c>
      <c r="H43" s="17">
        <v>-6</v>
      </c>
      <c r="I43" s="17">
        <v>-7.0000000000000009</v>
      </c>
      <c r="J43" s="17">
        <v>0</v>
      </c>
      <c r="K43" s="17">
        <v>0</v>
      </c>
      <c r="L43" s="17">
        <v>-7.0000000000000009</v>
      </c>
      <c r="M43" s="17">
        <v>0</v>
      </c>
      <c r="N43" s="17">
        <v>0</v>
      </c>
      <c r="O43" s="17">
        <v>0</v>
      </c>
      <c r="P43" s="17">
        <v>0</v>
      </c>
      <c r="Q43" s="17">
        <v>0</v>
      </c>
      <c r="R43" s="17">
        <v>0</v>
      </c>
      <c r="T43" s="9" t="str">
        <v>x22</v>
      </c>
      <c r="W43" s="9">
        <v>-12</v>
      </c>
    </row>
    <row r="44" spans="3:26" x14ac:dyDescent="0.3">
      <c r="C44" s="17">
        <v>0</v>
      </c>
      <c r="D44" s="17">
        <v>0</v>
      </c>
      <c r="E44" s="17">
        <v>-7.0000000000000009</v>
      </c>
      <c r="F44" s="17">
        <v>0</v>
      </c>
      <c r="G44" s="17">
        <v>0</v>
      </c>
      <c r="H44" s="17">
        <v>7.0000000000000009</v>
      </c>
      <c r="I44" s="17">
        <v>-8</v>
      </c>
      <c r="J44" s="17">
        <v>7.0000000000000009</v>
      </c>
      <c r="K44" s="17">
        <v>0</v>
      </c>
      <c r="L44" s="17">
        <v>0</v>
      </c>
      <c r="M44" s="17">
        <v>-7.0000000000000009</v>
      </c>
      <c r="N44" s="17">
        <v>0</v>
      </c>
      <c r="O44" s="17">
        <v>0</v>
      </c>
      <c r="P44" s="17">
        <v>0</v>
      </c>
      <c r="Q44" s="17">
        <v>0</v>
      </c>
      <c r="R44" s="17">
        <v>0</v>
      </c>
      <c r="T44" s="9" t="str">
        <v>x32</v>
      </c>
      <c r="W44" s="9">
        <v>0</v>
      </c>
    </row>
    <row r="45" spans="3:26" x14ac:dyDescent="0.3">
      <c r="C45" s="17">
        <v>0</v>
      </c>
      <c r="D45" s="17">
        <v>0</v>
      </c>
      <c r="E45" s="17">
        <v>0</v>
      </c>
      <c r="F45" s="17">
        <v>-7.0000000000000009</v>
      </c>
      <c r="G45" s="17">
        <v>-7.0000000000000009</v>
      </c>
      <c r="H45" s="17">
        <v>0</v>
      </c>
      <c r="I45" s="17">
        <v>-7.0000000000000009</v>
      </c>
      <c r="J45" s="17">
        <v>-8</v>
      </c>
      <c r="K45" s="17">
        <v>0</v>
      </c>
      <c r="L45" s="17">
        <v>0</v>
      </c>
      <c r="M45" s="17">
        <v>0</v>
      </c>
      <c r="N45" s="17">
        <v>-7.0000000000000009</v>
      </c>
      <c r="O45" s="17">
        <v>0</v>
      </c>
      <c r="P45" s="17">
        <v>0</v>
      </c>
      <c r="Q45" s="17">
        <v>0</v>
      </c>
      <c r="R45" s="17">
        <v>0</v>
      </c>
      <c r="T45" s="9" t="str">
        <v>x42</v>
      </c>
      <c r="W45" s="9">
        <v>0</v>
      </c>
    </row>
    <row r="46" spans="3:26" x14ac:dyDescent="0.3">
      <c r="C46" s="17">
        <v>0</v>
      </c>
      <c r="D46" s="17">
        <v>0</v>
      </c>
      <c r="E46" s="17">
        <v>0</v>
      </c>
      <c r="F46" s="17">
        <v>0</v>
      </c>
      <c r="G46" s="17">
        <v>7.0000000000000009</v>
      </c>
      <c r="H46" s="17">
        <v>0</v>
      </c>
      <c r="I46" s="17">
        <v>0</v>
      </c>
      <c r="J46" s="17">
        <v>0</v>
      </c>
      <c r="K46" s="17">
        <v>-8</v>
      </c>
      <c r="L46" s="17">
        <v>7.0000000000000009</v>
      </c>
      <c r="M46" s="17">
        <v>0</v>
      </c>
      <c r="N46" s="17">
        <v>7.0000000000000009</v>
      </c>
      <c r="O46" s="17">
        <v>7.0000000000000009</v>
      </c>
      <c r="P46" s="17">
        <v>0</v>
      </c>
      <c r="Q46" s="17">
        <v>0</v>
      </c>
      <c r="R46" s="17">
        <v>0</v>
      </c>
      <c r="T46" s="9" t="str">
        <v>x13</v>
      </c>
      <c r="W46" s="9">
        <v>0</v>
      </c>
    </row>
    <row r="47" spans="3:26" x14ac:dyDescent="0.3">
      <c r="C47" s="17">
        <v>0</v>
      </c>
      <c r="D47" s="17">
        <v>0</v>
      </c>
      <c r="E47" s="17">
        <v>0</v>
      </c>
      <c r="F47" s="17">
        <v>0</v>
      </c>
      <c r="G47" s="17">
        <v>0</v>
      </c>
      <c r="H47" s="17">
        <v>7.0000000000000009</v>
      </c>
      <c r="I47" s="17">
        <v>0</v>
      </c>
      <c r="J47" s="17">
        <v>0</v>
      </c>
      <c r="K47" s="17">
        <v>-7.0000000000000009</v>
      </c>
      <c r="L47" s="17">
        <v>-8</v>
      </c>
      <c r="M47" s="17">
        <v>-7.0000000000000009</v>
      </c>
      <c r="N47" s="17">
        <v>0</v>
      </c>
      <c r="O47" s="17">
        <v>0</v>
      </c>
      <c r="P47" s="17">
        <v>7.0000000000000009</v>
      </c>
      <c r="Q47" s="17">
        <v>0</v>
      </c>
      <c r="R47" s="17">
        <v>0</v>
      </c>
      <c r="T47" s="9" t="str">
        <v>x23</v>
      </c>
      <c r="W47" s="9">
        <v>0</v>
      </c>
    </row>
    <row r="48" spans="3:26" x14ac:dyDescent="0.3">
      <c r="C48" s="17">
        <v>0</v>
      </c>
      <c r="D48" s="17">
        <v>0</v>
      </c>
      <c r="E48" s="17">
        <v>0</v>
      </c>
      <c r="F48" s="17">
        <v>0</v>
      </c>
      <c r="G48" s="17">
        <v>0</v>
      </c>
      <c r="H48" s="17">
        <v>0</v>
      </c>
      <c r="I48" s="17">
        <v>7.0000000000000009</v>
      </c>
      <c r="J48" s="17">
        <v>0</v>
      </c>
      <c r="K48" s="17">
        <v>0</v>
      </c>
      <c r="L48" s="17">
        <v>7.0000000000000009</v>
      </c>
      <c r="M48" s="17">
        <v>-10</v>
      </c>
      <c r="N48" s="17">
        <v>7.0000000000000009</v>
      </c>
      <c r="O48" s="17">
        <v>0</v>
      </c>
      <c r="P48" s="17">
        <v>0</v>
      </c>
      <c r="Q48" s="17">
        <v>7.0000000000000009</v>
      </c>
      <c r="R48" s="17">
        <v>0</v>
      </c>
      <c r="T48" s="9" t="str">
        <v>x33</v>
      </c>
      <c r="W48" s="9">
        <v>-10</v>
      </c>
    </row>
    <row r="49" spans="3:23" x14ac:dyDescent="0.3">
      <c r="C49" s="17">
        <v>0</v>
      </c>
      <c r="D49" s="17">
        <v>0</v>
      </c>
      <c r="E49" s="17">
        <v>0</v>
      </c>
      <c r="F49" s="17">
        <v>0</v>
      </c>
      <c r="G49" s="17">
        <v>0</v>
      </c>
      <c r="H49" s="17">
        <v>0</v>
      </c>
      <c r="I49" s="17">
        <v>0</v>
      </c>
      <c r="J49" s="17">
        <v>7.0000000000000009</v>
      </c>
      <c r="K49" s="17">
        <v>-7.0000000000000009</v>
      </c>
      <c r="L49" s="17">
        <v>0</v>
      </c>
      <c r="M49" s="17">
        <v>-7.0000000000000009</v>
      </c>
      <c r="N49" s="17">
        <v>-10</v>
      </c>
      <c r="O49" s="17">
        <v>0</v>
      </c>
      <c r="P49" s="17">
        <v>0</v>
      </c>
      <c r="Q49" s="17">
        <v>0</v>
      </c>
      <c r="R49" s="17">
        <v>7.0000000000000009</v>
      </c>
      <c r="T49" s="9" t="str">
        <v>x43</v>
      </c>
      <c r="W49" s="9">
        <v>0</v>
      </c>
    </row>
    <row r="50" spans="3:23" x14ac:dyDescent="0.3">
      <c r="C50" s="17">
        <v>-7.0000000000000009</v>
      </c>
      <c r="D50" s="17">
        <v>0</v>
      </c>
      <c r="E50" s="17">
        <v>0</v>
      </c>
      <c r="F50" s="17">
        <v>0</v>
      </c>
      <c r="G50" s="17">
        <v>0</v>
      </c>
      <c r="H50" s="17">
        <v>0</v>
      </c>
      <c r="I50" s="17">
        <v>0</v>
      </c>
      <c r="J50" s="17">
        <v>0</v>
      </c>
      <c r="K50" s="17">
        <v>-7.0000000000000009</v>
      </c>
      <c r="L50" s="17">
        <v>0</v>
      </c>
      <c r="M50" s="17">
        <v>0</v>
      </c>
      <c r="N50" s="17">
        <v>0</v>
      </c>
      <c r="O50" s="17">
        <v>-8</v>
      </c>
      <c r="P50" s="17">
        <v>7.0000000000000009</v>
      </c>
      <c r="Q50" s="17">
        <v>0</v>
      </c>
      <c r="R50" s="17">
        <v>7.0000000000000009</v>
      </c>
      <c r="T50" s="9" t="str">
        <v>x14</v>
      </c>
      <c r="W50" s="9">
        <v>0</v>
      </c>
    </row>
    <row r="51" spans="3:23" x14ac:dyDescent="0.3">
      <c r="C51" s="17">
        <v>0</v>
      </c>
      <c r="D51" s="17">
        <v>-7.0000000000000009</v>
      </c>
      <c r="E51" s="17">
        <v>0</v>
      </c>
      <c r="F51" s="17">
        <v>0</v>
      </c>
      <c r="G51" s="17">
        <v>0</v>
      </c>
      <c r="H51" s="17">
        <v>0</v>
      </c>
      <c r="I51" s="17">
        <v>0</v>
      </c>
      <c r="J51" s="17">
        <v>0</v>
      </c>
      <c r="K51" s="17">
        <v>0</v>
      </c>
      <c r="L51" s="17">
        <v>-7.0000000000000009</v>
      </c>
      <c r="M51" s="17">
        <v>0</v>
      </c>
      <c r="N51" s="17">
        <v>0</v>
      </c>
      <c r="O51" s="17">
        <v>-7.0000000000000009</v>
      </c>
      <c r="P51" s="17">
        <v>-8</v>
      </c>
      <c r="Q51" s="17">
        <v>-7.0000000000000009</v>
      </c>
      <c r="R51" s="17">
        <v>0</v>
      </c>
      <c r="T51" s="9" t="str">
        <v>x24</v>
      </c>
      <c r="W51" s="9">
        <v>0</v>
      </c>
    </row>
    <row r="52" spans="3:23" x14ac:dyDescent="0.3">
      <c r="C52" s="17">
        <v>0</v>
      </c>
      <c r="D52" s="17">
        <v>0</v>
      </c>
      <c r="E52" s="17">
        <v>-7.0000000000000009</v>
      </c>
      <c r="F52" s="17">
        <v>0</v>
      </c>
      <c r="G52" s="17">
        <v>0</v>
      </c>
      <c r="H52" s="17">
        <v>0</v>
      </c>
      <c r="I52" s="17">
        <v>0</v>
      </c>
      <c r="J52" s="17">
        <v>0</v>
      </c>
      <c r="K52" s="17">
        <v>0</v>
      </c>
      <c r="L52" s="17">
        <v>0</v>
      </c>
      <c r="M52" s="17">
        <v>-7.0000000000000009</v>
      </c>
      <c r="N52" s="17">
        <v>0</v>
      </c>
      <c r="O52" s="17">
        <v>0</v>
      </c>
      <c r="P52" s="17">
        <v>7.0000000000000009</v>
      </c>
      <c r="Q52" s="17">
        <v>-10</v>
      </c>
      <c r="R52" s="17">
        <v>7.0000000000000009</v>
      </c>
      <c r="T52" s="9" t="str">
        <v>x34</v>
      </c>
      <c r="W52" s="9">
        <v>0</v>
      </c>
    </row>
    <row r="53" spans="3:23" x14ac:dyDescent="0.3">
      <c r="C53" s="17">
        <v>0</v>
      </c>
      <c r="D53" s="17">
        <v>0</v>
      </c>
      <c r="E53" s="17">
        <v>0</v>
      </c>
      <c r="F53" s="17">
        <v>-7.0000000000000009</v>
      </c>
      <c r="G53" s="17">
        <v>0</v>
      </c>
      <c r="H53" s="17">
        <v>0</v>
      </c>
      <c r="I53" s="17">
        <v>0</v>
      </c>
      <c r="J53" s="17">
        <v>0</v>
      </c>
      <c r="K53" s="17">
        <v>0</v>
      </c>
      <c r="L53" s="17">
        <v>0</v>
      </c>
      <c r="M53" s="17">
        <v>0</v>
      </c>
      <c r="N53" s="17">
        <v>-7.0000000000000009</v>
      </c>
      <c r="O53" s="17">
        <v>-7.0000000000000009</v>
      </c>
      <c r="P53" s="17">
        <v>0</v>
      </c>
      <c r="Q53" s="17">
        <v>-7.0000000000000009</v>
      </c>
      <c r="R53" s="17">
        <v>-10</v>
      </c>
      <c r="T53" s="9" t="str">
        <v>x44</v>
      </c>
      <c r="W53" s="9">
        <v>-10</v>
      </c>
    </row>
    <row r="55" spans="3:23" x14ac:dyDescent="0.3">
      <c r="T55" s="9" t="str">
        <f t="shared" ref="T55:T70" si="3">T38</f>
        <v>x11</v>
      </c>
      <c r="V55" s="39" t="s">
        <v>5</v>
      </c>
      <c r="W55" s="9">
        <f t="array" ref="W55:W70">MMULT( MINVERSE(C38:R53), W38:W53)</f>
        <v>1.5214843749999998</v>
      </c>
    </row>
    <row r="56" spans="3:23" x14ac:dyDescent="0.3">
      <c r="T56" s="9" t="str">
        <f t="shared" si="3"/>
        <v>x21</v>
      </c>
      <c r="W56" s="9">
        <v>2.7755575615628914E-17</v>
      </c>
    </row>
    <row r="57" spans="3:23" x14ac:dyDescent="0.3">
      <c r="T57" s="9" t="str">
        <f t="shared" si="3"/>
        <v>x31</v>
      </c>
      <c r="W57" s="9">
        <v>8.3266726846886741E-17</v>
      </c>
    </row>
    <row r="58" spans="3:23" x14ac:dyDescent="0.3">
      <c r="T58" s="9" t="str">
        <f t="shared" si="3"/>
        <v>x41</v>
      </c>
      <c r="W58" s="9">
        <v>-0.20507812499999992</v>
      </c>
    </row>
    <row r="59" spans="3:23" x14ac:dyDescent="0.3">
      <c r="T59" s="9" t="str">
        <f t="shared" si="3"/>
        <v>x12</v>
      </c>
      <c r="W59" s="9">
        <v>-6.9388939039072284E-17</v>
      </c>
    </row>
    <row r="60" spans="3:23" x14ac:dyDescent="0.3">
      <c r="T60" s="9" t="str">
        <f t="shared" si="3"/>
        <v>x22</v>
      </c>
      <c r="W60" s="9">
        <v>1.5214843749999998</v>
      </c>
    </row>
    <row r="61" spans="3:23" x14ac:dyDescent="0.3">
      <c r="T61" s="9" t="str">
        <f t="shared" si="3"/>
        <v>x32</v>
      </c>
      <c r="W61" s="9">
        <v>0.20507812500000011</v>
      </c>
    </row>
    <row r="62" spans="3:23" x14ac:dyDescent="0.3">
      <c r="T62" s="9" t="str">
        <f t="shared" si="3"/>
        <v>x42</v>
      </c>
      <c r="W62" s="9">
        <v>1.9428902930940239E-16</v>
      </c>
    </row>
    <row r="63" spans="3:23" x14ac:dyDescent="0.3">
      <c r="T63" s="9" t="str">
        <f t="shared" si="3"/>
        <v>x13</v>
      </c>
      <c r="W63" s="9">
        <v>1.6653345369377348E-16</v>
      </c>
    </row>
    <row r="64" spans="3:23" x14ac:dyDescent="0.3">
      <c r="T64" s="9" t="str">
        <f t="shared" si="3"/>
        <v>x23</v>
      </c>
      <c r="W64" s="9">
        <v>0.20507812500000008</v>
      </c>
    </row>
    <row r="65" spans="16:34" x14ac:dyDescent="0.3">
      <c r="T65" s="9" t="str">
        <f t="shared" si="3"/>
        <v>x33</v>
      </c>
      <c r="W65" s="9">
        <v>1.287109375</v>
      </c>
    </row>
    <row r="66" spans="16:34" x14ac:dyDescent="0.3">
      <c r="T66" s="9" t="str">
        <f t="shared" si="3"/>
        <v>x43</v>
      </c>
      <c r="W66" s="9">
        <v>0</v>
      </c>
    </row>
    <row r="67" spans="16:34" x14ac:dyDescent="0.3">
      <c r="T67" s="9" t="str">
        <f t="shared" si="3"/>
        <v>x14</v>
      </c>
      <c r="W67" s="9">
        <v>-0.205078125</v>
      </c>
    </row>
    <row r="68" spans="16:34" x14ac:dyDescent="0.3">
      <c r="T68" s="9" t="str">
        <f t="shared" si="3"/>
        <v>x24</v>
      </c>
      <c r="W68" s="9">
        <v>1.6653345369377348E-16</v>
      </c>
    </row>
    <row r="69" spans="16:34" x14ac:dyDescent="0.3">
      <c r="T69" s="9" t="str">
        <f t="shared" si="3"/>
        <v>x34</v>
      </c>
      <c r="W69" s="9">
        <v>-1.3877787807814457E-16</v>
      </c>
    </row>
    <row r="70" spans="16:34" x14ac:dyDescent="0.3">
      <c r="T70" s="9" t="str">
        <f t="shared" si="3"/>
        <v>x44</v>
      </c>
      <c r="W70" s="9">
        <v>1.287109375</v>
      </c>
    </row>
    <row r="72" spans="16:34" x14ac:dyDescent="0.3">
      <c r="P72" s="26" t="s">
        <v>70</v>
      </c>
      <c r="Q72" s="9" t="s">
        <v>46</v>
      </c>
      <c r="R72" s="9" t="s">
        <v>47</v>
      </c>
      <c r="S72" s="9" t="s">
        <v>48</v>
      </c>
      <c r="T72" s="9" t="s">
        <v>49</v>
      </c>
      <c r="V72" s="39" t="s">
        <v>5</v>
      </c>
      <c r="W72" s="52">
        <f t="shared" ref="W72:W75" si="4">W55</f>
        <v>1.5214843749999998</v>
      </c>
      <c r="X72" s="18">
        <f t="shared" ref="X72:X75" si="5">W59</f>
        <v>-6.9388939039072284E-17</v>
      </c>
      <c r="Y72" s="17">
        <f t="shared" ref="Y72:Y75" si="6">W63</f>
        <v>1.6653345369377348E-16</v>
      </c>
      <c r="Z72" s="17">
        <f t="shared" ref="Z72:Z75" si="7">W67</f>
        <v>-0.205078125</v>
      </c>
      <c r="AE72" s="53"/>
      <c r="AF72" s="59"/>
      <c r="AG72" s="59"/>
      <c r="AH72" s="57"/>
    </row>
    <row r="73" spans="16:34" x14ac:dyDescent="0.3">
      <c r="Q73" s="9" t="s">
        <v>50</v>
      </c>
      <c r="R73" s="9" t="s">
        <v>51</v>
      </c>
      <c r="S73" s="9" t="s">
        <v>52</v>
      </c>
      <c r="T73" s="9" t="s">
        <v>53</v>
      </c>
      <c r="W73" s="18">
        <f t="shared" si="4"/>
        <v>2.7755575615628914E-17</v>
      </c>
      <c r="X73" s="61">
        <f t="shared" si="5"/>
        <v>1.5214843749999998</v>
      </c>
      <c r="Y73" s="17">
        <f t="shared" si="6"/>
        <v>0.20507812500000008</v>
      </c>
      <c r="Z73" s="17">
        <f t="shared" si="7"/>
        <v>1.6653345369377348E-16</v>
      </c>
      <c r="AE73" s="59"/>
      <c r="AF73" s="53"/>
      <c r="AG73" s="57"/>
      <c r="AH73" s="59"/>
    </row>
    <row r="74" spans="16:34" x14ac:dyDescent="0.3">
      <c r="Q74" s="9" t="s">
        <v>54</v>
      </c>
      <c r="R74" s="9" t="s">
        <v>56</v>
      </c>
      <c r="S74" s="9" t="s">
        <v>57</v>
      </c>
      <c r="T74" s="9" t="s">
        <v>58</v>
      </c>
      <c r="W74" s="17">
        <f t="shared" si="4"/>
        <v>8.3266726846886741E-17</v>
      </c>
      <c r="X74" s="17">
        <f t="shared" si="5"/>
        <v>0.20507812500000011</v>
      </c>
      <c r="Y74" s="60">
        <f t="shared" si="6"/>
        <v>1.287109375</v>
      </c>
      <c r="Z74" s="21">
        <f t="shared" si="7"/>
        <v>-1.3877787807814457E-16</v>
      </c>
      <c r="AE74" s="59"/>
      <c r="AF74" s="57"/>
      <c r="AG74" s="53"/>
      <c r="AH74" s="59"/>
    </row>
    <row r="75" spans="16:34" x14ac:dyDescent="0.3">
      <c r="Q75" s="9" t="s">
        <v>55</v>
      </c>
      <c r="R75" s="9" t="s">
        <v>59</v>
      </c>
      <c r="S75" s="9" t="s">
        <v>60</v>
      </c>
      <c r="T75" s="9" t="s">
        <v>61</v>
      </c>
      <c r="W75" s="17">
        <f t="shared" si="4"/>
        <v>-0.20507812499999992</v>
      </c>
      <c r="X75" s="17">
        <f t="shared" si="5"/>
        <v>1.9428902930940239E-16</v>
      </c>
      <c r="Y75" s="21">
        <f t="shared" si="6"/>
        <v>0</v>
      </c>
      <c r="Z75" s="58">
        <f t="shared" si="7"/>
        <v>1.287109375</v>
      </c>
      <c r="AE75" s="57"/>
      <c r="AF75" s="59"/>
      <c r="AG75" s="59"/>
      <c r="AH75" s="53"/>
    </row>
    <row r="78" spans="16:34" x14ac:dyDescent="0.3">
      <c r="V78" s="24" t="s">
        <v>64</v>
      </c>
      <c r="W78" s="29">
        <f t="array" ref="W78">MDETERM(W72:X73)</f>
        <v>2.3149147033691397</v>
      </c>
    </row>
    <row r="80" spans="16:34" x14ac:dyDescent="0.3">
      <c r="W80" s="48"/>
    </row>
    <row r="84" spans="3:27" x14ac:dyDescent="0.3">
      <c r="D84" s="69" t="s">
        <v>0</v>
      </c>
      <c r="E84" s="69"/>
      <c r="F84" s="69"/>
      <c r="G84" s="69"/>
      <c r="H84" s="39" t="s">
        <v>45</v>
      </c>
      <c r="I84" s="69" t="s">
        <v>65</v>
      </c>
      <c r="J84" s="69"/>
      <c r="K84" s="69"/>
      <c r="L84" s="69"/>
      <c r="M84" s="38" t="s">
        <v>3</v>
      </c>
      <c r="N84" s="69" t="s">
        <v>65</v>
      </c>
      <c r="O84" s="69"/>
      <c r="P84" s="69"/>
      <c r="Q84" s="69"/>
      <c r="R84" s="39" t="s">
        <v>45</v>
      </c>
      <c r="S84" s="69" t="s">
        <v>15</v>
      </c>
      <c r="T84" s="69"/>
      <c r="U84" s="69"/>
      <c r="V84" s="69"/>
      <c r="W84" s="39"/>
      <c r="X84" s="69"/>
      <c r="Y84" s="69"/>
      <c r="Z84" s="69"/>
      <c r="AA84" s="69"/>
    </row>
    <row r="85" spans="3:27" x14ac:dyDescent="0.3">
      <c r="D85" s="36">
        <f t="array" ref="D85:G88">O21:R24</f>
        <v>-3</v>
      </c>
      <c r="E85" s="36">
        <v>7.0000000000000009</v>
      </c>
      <c r="F85" s="36">
        <v>0</v>
      </c>
      <c r="G85" s="36">
        <v>7.0000000000000009</v>
      </c>
      <c r="I85" s="36">
        <f t="array" ref="I85:L88">W72:Z75</f>
        <v>1.5214843749999998</v>
      </c>
      <c r="J85" s="36">
        <v>-6.9388939039072284E-17</v>
      </c>
      <c r="K85" s="36">
        <v>1.6653345369377348E-16</v>
      </c>
      <c r="L85" s="36">
        <v>-0.205078125</v>
      </c>
      <c r="M85" t="s">
        <v>3</v>
      </c>
      <c r="N85" s="36">
        <f t="array" ref="N85:Q88">I85:L88</f>
        <v>1.5214843749999998</v>
      </c>
      <c r="O85" s="36">
        <v>-6.9388939039072284E-17</v>
      </c>
      <c r="P85" s="36">
        <v>1.6653345369377348E-16</v>
      </c>
      <c r="Q85" s="36">
        <v>-0.205078125</v>
      </c>
      <c r="S85" s="36">
        <f t="array" ref="S85:V88">TRANSPOSE(D85:G88)</f>
        <v>-3</v>
      </c>
      <c r="T85" s="36">
        <v>-7.0000000000000009</v>
      </c>
      <c r="U85" s="36">
        <v>0</v>
      </c>
      <c r="V85" s="36">
        <v>-7.0000000000000009</v>
      </c>
      <c r="W85" s="33"/>
    </row>
    <row r="86" spans="3:27" x14ac:dyDescent="0.3">
      <c r="D86" s="36">
        <v>-7.0000000000000009</v>
      </c>
      <c r="E86" s="36">
        <v>-3</v>
      </c>
      <c r="F86" s="36">
        <v>-7.0000000000000009</v>
      </c>
      <c r="G86" s="36">
        <v>0</v>
      </c>
      <c r="I86" s="36">
        <v>2.7755575615628914E-17</v>
      </c>
      <c r="J86" s="36">
        <v>1.5214843749999998</v>
      </c>
      <c r="K86" s="36">
        <v>0.20507812500000008</v>
      </c>
      <c r="L86" s="36">
        <v>1.6653345369377348E-16</v>
      </c>
      <c r="N86" s="36">
        <v>2.7755575615628914E-17</v>
      </c>
      <c r="O86" s="36">
        <v>1.5214843749999998</v>
      </c>
      <c r="P86" s="36">
        <v>0.20507812500000008</v>
      </c>
      <c r="Q86" s="36">
        <v>1.6653345369377348E-16</v>
      </c>
      <c r="S86" s="36">
        <v>7.0000000000000009</v>
      </c>
      <c r="T86" s="36">
        <v>-3</v>
      </c>
      <c r="U86" s="36">
        <v>7.0000000000000009</v>
      </c>
      <c r="V86" s="36">
        <v>0</v>
      </c>
    </row>
    <row r="87" spans="3:27" x14ac:dyDescent="0.3">
      <c r="C87" s="51"/>
      <c r="D87" s="36">
        <v>0</v>
      </c>
      <c r="E87" s="36">
        <v>7.0000000000000009</v>
      </c>
      <c r="F87" s="36">
        <v>-5</v>
      </c>
      <c r="G87" s="36">
        <v>7.0000000000000009</v>
      </c>
      <c r="I87" s="36">
        <v>8.3266726846886741E-17</v>
      </c>
      <c r="J87" s="36">
        <v>0.20507812500000011</v>
      </c>
      <c r="K87" s="36">
        <v>1.287109375</v>
      </c>
      <c r="L87" s="36">
        <v>-1.3877787807814457E-16</v>
      </c>
      <c r="N87" s="36">
        <v>8.3266726846886741E-17</v>
      </c>
      <c r="O87" s="36">
        <v>0.20507812500000011</v>
      </c>
      <c r="P87" s="37">
        <v>1.287109375</v>
      </c>
      <c r="Q87" s="36">
        <v>-1.3877787807814457E-16</v>
      </c>
      <c r="S87" s="36">
        <v>0</v>
      </c>
      <c r="T87" s="36">
        <v>-7.0000000000000009</v>
      </c>
      <c r="U87" s="36">
        <v>-5</v>
      </c>
      <c r="V87" s="36">
        <v>-7.0000000000000009</v>
      </c>
    </row>
    <row r="88" spans="3:27" x14ac:dyDescent="0.3">
      <c r="D88" s="36">
        <v>-7.0000000000000009</v>
      </c>
      <c r="E88" s="36">
        <v>0</v>
      </c>
      <c r="F88" s="36">
        <v>-7.0000000000000009</v>
      </c>
      <c r="G88" s="36">
        <v>-5</v>
      </c>
      <c r="I88" s="36">
        <v>-0.20507812499999992</v>
      </c>
      <c r="J88" s="36">
        <v>1.9428902930940239E-16</v>
      </c>
      <c r="K88" s="36">
        <v>0</v>
      </c>
      <c r="L88" s="36">
        <v>1.287109375</v>
      </c>
      <c r="N88" s="36">
        <v>-0.20507812499999992</v>
      </c>
      <c r="O88" s="36">
        <v>1.9428902930940239E-16</v>
      </c>
      <c r="P88" s="36">
        <v>0</v>
      </c>
      <c r="Q88" s="36">
        <v>1.287109375</v>
      </c>
      <c r="S88" s="36">
        <v>7.0000000000000009</v>
      </c>
      <c r="T88" s="36">
        <v>0</v>
      </c>
      <c r="U88" s="36">
        <v>7.0000000000000009</v>
      </c>
      <c r="V88" s="36">
        <v>-5</v>
      </c>
    </row>
    <row r="89" spans="3:27" x14ac:dyDescent="0.3">
      <c r="D89" s="36"/>
      <c r="E89" s="36"/>
      <c r="F89" s="36"/>
      <c r="G89" s="36"/>
      <c r="I89" s="36"/>
      <c r="J89" s="36"/>
      <c r="K89" s="36"/>
      <c r="L89" s="36"/>
      <c r="N89" s="36"/>
      <c r="O89" s="36"/>
      <c r="P89" s="36"/>
      <c r="Q89" s="36"/>
      <c r="S89" s="36"/>
      <c r="T89" s="36"/>
      <c r="U89" s="36"/>
      <c r="V89" s="36"/>
    </row>
    <row r="90" spans="3:27" x14ac:dyDescent="0.3">
      <c r="D90" s="69" t="s">
        <v>80</v>
      </c>
      <c r="E90" s="69"/>
      <c r="F90" s="69"/>
      <c r="G90" s="69"/>
      <c r="I90" s="36"/>
      <c r="N90" s="69" t="s">
        <v>81</v>
      </c>
      <c r="O90" s="69"/>
      <c r="P90" s="69"/>
      <c r="Q90" s="69"/>
    </row>
    <row r="91" spans="3:27" x14ac:dyDescent="0.3">
      <c r="D91" s="36">
        <f t="array" ref="D91:G94">MMULT(D85:G88,I85:L88)</f>
        <v>-5.9999999999999982</v>
      </c>
      <c r="E91" s="36">
        <v>10.650390625000002</v>
      </c>
      <c r="F91" s="36">
        <v>1.4355468750000002</v>
      </c>
      <c r="G91" s="36">
        <v>9.6250000000000036</v>
      </c>
      <c r="N91" s="36">
        <f t="array" ref="N91:Q94">MMULT(N85:Q88,S85:V88)</f>
        <v>-6</v>
      </c>
      <c r="O91" s="36">
        <v>-10.650390625000002</v>
      </c>
      <c r="P91" s="36">
        <v>-1.4355468750000016</v>
      </c>
      <c r="Q91" s="36">
        <v>-9.6250000000000018</v>
      </c>
    </row>
    <row r="92" spans="3:27" x14ac:dyDescent="0.3">
      <c r="D92" s="36">
        <v>-10.650390625</v>
      </c>
      <c r="E92" s="36">
        <v>-5.9999999999999991</v>
      </c>
      <c r="F92" s="36">
        <v>-9.6250000000000036</v>
      </c>
      <c r="G92" s="36">
        <v>1.4355468750000007</v>
      </c>
      <c r="N92" s="36">
        <v>10.650390625000002</v>
      </c>
      <c r="O92" s="36">
        <v>-6</v>
      </c>
      <c r="P92" s="36">
        <v>9.6250000000000018</v>
      </c>
      <c r="Q92" s="36">
        <v>-1.4355468750000018</v>
      </c>
    </row>
    <row r="93" spans="3:27" x14ac:dyDescent="0.3">
      <c r="D93" s="36">
        <v>-1.4355468749999998</v>
      </c>
      <c r="E93" s="36">
        <v>9.6250000000000018</v>
      </c>
      <c r="F93" s="36">
        <v>-4.9999999999999991</v>
      </c>
      <c r="G93" s="36">
        <v>9.0097656250000036</v>
      </c>
      <c r="N93" s="36">
        <v>1.4355468749999998</v>
      </c>
      <c r="O93" s="36">
        <v>-9.6250000000000036</v>
      </c>
      <c r="P93" s="36">
        <v>-5</v>
      </c>
      <c r="Q93" s="36">
        <v>-9.0097656250000018</v>
      </c>
    </row>
    <row r="94" spans="3:27" x14ac:dyDescent="0.3">
      <c r="D94" s="36">
        <v>-9.625</v>
      </c>
      <c r="E94" s="36">
        <v>-1.4355468750000013</v>
      </c>
      <c r="F94" s="36">
        <v>-9.0097656250000036</v>
      </c>
      <c r="G94" s="36">
        <v>-4.9999999999999991</v>
      </c>
      <c r="N94" s="36">
        <v>9.6250000000000036</v>
      </c>
      <c r="O94" s="36">
        <v>1.4355468749999989</v>
      </c>
      <c r="P94" s="36">
        <v>9.0097656250000036</v>
      </c>
      <c r="Q94" s="36">
        <v>-5</v>
      </c>
    </row>
    <row r="95" spans="3:27" x14ac:dyDescent="0.3">
      <c r="D95" s="36"/>
      <c r="E95" s="36"/>
      <c r="F95" s="36"/>
      <c r="G95" s="36"/>
      <c r="N95" s="36"/>
      <c r="O95" s="36"/>
      <c r="P95" s="36"/>
      <c r="Q95" s="36"/>
    </row>
    <row r="96" spans="3:27" x14ac:dyDescent="0.3">
      <c r="D96" s="70" t="s">
        <v>66</v>
      </c>
      <c r="E96" s="69"/>
      <c r="F96" s="69"/>
      <c r="G96" s="69"/>
    </row>
    <row r="97" spans="4:13" x14ac:dyDescent="0.3">
      <c r="D97" s="36">
        <f t="array" ref="D97:G100">D91:G94+N91:Q94</f>
        <v>-11.999999999999998</v>
      </c>
      <c r="E97" s="36">
        <v>0</v>
      </c>
      <c r="F97" s="36">
        <v>0</v>
      </c>
      <c r="G97" s="36">
        <v>0</v>
      </c>
      <c r="J97" s="36"/>
    </row>
    <row r="98" spans="4:13" x14ac:dyDescent="0.3">
      <c r="D98" s="36">
        <v>0</v>
      </c>
      <c r="E98" s="36">
        <v>-12</v>
      </c>
      <c r="F98" s="36">
        <v>0</v>
      </c>
      <c r="G98" s="36">
        <v>0</v>
      </c>
      <c r="K98" s="36"/>
    </row>
    <row r="99" spans="4:13" x14ac:dyDescent="0.3">
      <c r="D99" s="36">
        <v>0</v>
      </c>
      <c r="E99" s="36">
        <v>0</v>
      </c>
      <c r="F99" s="36">
        <v>-10</v>
      </c>
      <c r="G99" s="36">
        <v>0</v>
      </c>
      <c r="L99" s="36"/>
    </row>
    <row r="100" spans="4:13" x14ac:dyDescent="0.3">
      <c r="D100" s="36">
        <v>0</v>
      </c>
      <c r="E100" s="36">
        <v>-2.4424906541753444E-15</v>
      </c>
      <c r="F100" s="36">
        <v>0</v>
      </c>
      <c r="G100" s="36">
        <v>-10</v>
      </c>
      <c r="M100" s="36"/>
    </row>
    <row r="102" spans="4:13" x14ac:dyDescent="0.3">
      <c r="D102" t="b">
        <f t="array" ref="D102:G105">ROUND(D97:G100,2)=-C13:F16</f>
        <v>1</v>
      </c>
      <c r="E102" t="b">
        <v>1</v>
      </c>
      <c r="F102" t="b">
        <v>1</v>
      </c>
      <c r="G102" t="b">
        <v>1</v>
      </c>
      <c r="J102" s="50"/>
      <c r="K102" s="50"/>
      <c r="L102" s="50"/>
      <c r="M102" s="50"/>
    </row>
    <row r="103" spans="4:13" x14ac:dyDescent="0.3">
      <c r="D103" t="b">
        <v>1</v>
      </c>
      <c r="E103" t="b">
        <v>1</v>
      </c>
      <c r="F103" t="b">
        <v>1</v>
      </c>
      <c r="G103" t="b">
        <v>1</v>
      </c>
      <c r="J103" s="50"/>
      <c r="K103" s="50"/>
      <c r="L103" s="50"/>
      <c r="M103" s="50"/>
    </row>
    <row r="104" spans="4:13" x14ac:dyDescent="0.3">
      <c r="D104" t="b">
        <v>1</v>
      </c>
      <c r="E104" t="b">
        <v>1</v>
      </c>
      <c r="F104" t="b">
        <v>1</v>
      </c>
      <c r="G104" t="b">
        <v>1</v>
      </c>
      <c r="J104" s="50"/>
      <c r="K104" s="50"/>
      <c r="L104" s="50"/>
      <c r="M104" s="50"/>
    </row>
    <row r="105" spans="4:13" x14ac:dyDescent="0.3">
      <c r="D105" t="b">
        <v>1</v>
      </c>
      <c r="E105" t="b">
        <v>1</v>
      </c>
      <c r="F105" t="b">
        <v>1</v>
      </c>
      <c r="G105" t="b">
        <v>1</v>
      </c>
      <c r="J105" s="50"/>
      <c r="K105" s="50"/>
      <c r="L105" s="50"/>
      <c r="M105" s="50"/>
    </row>
    <row r="111" spans="4:13" x14ac:dyDescent="0.3">
      <c r="D111" s="36"/>
      <c r="E111" s="36"/>
      <c r="F111" s="36"/>
      <c r="G111" s="36"/>
      <c r="M111" s="50"/>
    </row>
    <row r="112" spans="4:13" x14ac:dyDescent="0.3">
      <c r="D112" s="36"/>
      <c r="E112" s="36"/>
      <c r="F112" s="36"/>
      <c r="G112" s="36"/>
    </row>
    <row r="113" spans="4:13" x14ac:dyDescent="0.3">
      <c r="D113" s="36"/>
      <c r="E113" s="36"/>
      <c r="F113" s="36"/>
      <c r="G113" s="36"/>
    </row>
    <row r="114" spans="4:13" x14ac:dyDescent="0.3">
      <c r="D114" s="36"/>
      <c r="E114" s="36"/>
      <c r="F114" s="36"/>
      <c r="G114" s="36"/>
      <c r="J114" s="56"/>
    </row>
    <row r="121" spans="4:13" x14ac:dyDescent="0.3">
      <c r="J121" s="50"/>
      <c r="K121" s="50"/>
      <c r="L121" s="51"/>
      <c r="M121" s="51"/>
    </row>
    <row r="122" spans="4:13" x14ac:dyDescent="0.3">
      <c r="J122" s="50"/>
      <c r="K122" s="50"/>
      <c r="L122" s="51"/>
      <c r="M122" s="51"/>
    </row>
    <row r="123" spans="4:13" x14ac:dyDescent="0.3">
      <c r="J123" s="51"/>
      <c r="K123" s="51"/>
      <c r="L123" s="50"/>
      <c r="M123" s="50"/>
    </row>
    <row r="124" spans="4:13" x14ac:dyDescent="0.3">
      <c r="J124" s="51"/>
      <c r="K124" s="51"/>
      <c r="L124" s="50"/>
      <c r="M124" s="50"/>
    </row>
  </sheetData>
  <mergeCells count="15">
    <mergeCell ref="S84:V84"/>
    <mergeCell ref="X84:AA84"/>
    <mergeCell ref="H20:K20"/>
    <mergeCell ref="C31:F31"/>
    <mergeCell ref="H31:K31"/>
    <mergeCell ref="M31:P31"/>
    <mergeCell ref="R31:U31"/>
    <mergeCell ref="W31:Z31"/>
    <mergeCell ref="D90:G90"/>
    <mergeCell ref="N90:Q90"/>
    <mergeCell ref="D96:G96"/>
    <mergeCell ref="C37:R37"/>
    <mergeCell ref="D84:G84"/>
    <mergeCell ref="I84:L84"/>
    <mergeCell ref="N84:Q84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7"/>
  <sheetViews>
    <sheetView workbookViewId="0">
      <selection activeCell="L23" sqref="L23"/>
    </sheetView>
  </sheetViews>
  <sheetFormatPr defaultRowHeight="14.4" x14ac:dyDescent="0.3"/>
  <sheetData>
    <row r="1" spans="1:9" x14ac:dyDescent="0.3">
      <c r="A1" t="s">
        <v>103</v>
      </c>
    </row>
    <row r="2" spans="1:9" ht="15" thickBot="1" x14ac:dyDescent="0.35"/>
    <row r="3" spans="1:9" x14ac:dyDescent="0.3">
      <c r="A3" s="77" t="s">
        <v>104</v>
      </c>
      <c r="B3" s="77"/>
    </row>
    <row r="4" spans="1:9" x14ac:dyDescent="0.3">
      <c r="A4" s="74" t="s">
        <v>105</v>
      </c>
      <c r="B4" s="74">
        <v>0.98834521143648957</v>
      </c>
    </row>
    <row r="5" spans="1:9" x14ac:dyDescent="0.3">
      <c r="A5" s="74" t="s">
        <v>106</v>
      </c>
      <c r="B5" s="74">
        <v>0.97682625696943937</v>
      </c>
    </row>
    <row r="6" spans="1:9" x14ac:dyDescent="0.3">
      <c r="A6" s="74" t="s">
        <v>107</v>
      </c>
      <c r="B6" s="74">
        <v>0.97064659216128979</v>
      </c>
    </row>
    <row r="7" spans="1:9" x14ac:dyDescent="0.3">
      <c r="A7" s="74" t="s">
        <v>108</v>
      </c>
      <c r="B7" s="74">
        <v>3.7613038415645286</v>
      </c>
    </row>
    <row r="8" spans="1:9" ht="15" thickBot="1" x14ac:dyDescent="0.35">
      <c r="A8" s="75" t="s">
        <v>109</v>
      </c>
      <c r="B8" s="75">
        <v>20</v>
      </c>
    </row>
    <row r="10" spans="1:9" ht="15" thickBot="1" x14ac:dyDescent="0.35">
      <c r="A10" t="s">
        <v>110</v>
      </c>
    </row>
    <row r="11" spans="1:9" x14ac:dyDescent="0.3">
      <c r="A11" s="76"/>
      <c r="B11" s="76" t="s">
        <v>115</v>
      </c>
      <c r="C11" s="76" t="s">
        <v>116</v>
      </c>
      <c r="D11" s="76" t="s">
        <v>117</v>
      </c>
      <c r="E11" s="76" t="s">
        <v>118</v>
      </c>
      <c r="F11" s="76" t="s">
        <v>119</v>
      </c>
    </row>
    <row r="12" spans="1:9" x14ac:dyDescent="0.3">
      <c r="A12" s="74" t="s">
        <v>111</v>
      </c>
      <c r="B12" s="74">
        <v>4</v>
      </c>
      <c r="C12" s="74">
        <v>8945.1830497414794</v>
      </c>
      <c r="D12" s="74">
        <v>2236.2957624353699</v>
      </c>
      <c r="E12" s="74">
        <v>158.07107461253185</v>
      </c>
      <c r="F12" s="74">
        <v>4.5490224456632562E-12</v>
      </c>
    </row>
    <row r="13" spans="1:9" x14ac:dyDescent="0.3">
      <c r="A13" s="74" t="s">
        <v>112</v>
      </c>
      <c r="B13" s="74">
        <v>15</v>
      </c>
      <c r="C13" s="74">
        <v>212.21109882852122</v>
      </c>
      <c r="D13" s="74">
        <v>14.147406588568082</v>
      </c>
      <c r="E13" s="74"/>
      <c r="F13" s="74"/>
    </row>
    <row r="14" spans="1:9" ht="15" thickBot="1" x14ac:dyDescent="0.35">
      <c r="A14" s="75" t="s">
        <v>113</v>
      </c>
      <c r="B14" s="75">
        <v>19</v>
      </c>
      <c r="C14" s="75">
        <v>9157.3941485699997</v>
      </c>
      <c r="D14" s="75"/>
      <c r="E14" s="75"/>
      <c r="F14" s="75"/>
    </row>
    <row r="15" spans="1:9" ht="15" thickBot="1" x14ac:dyDescent="0.35"/>
    <row r="16" spans="1:9" x14ac:dyDescent="0.3">
      <c r="A16" s="76"/>
      <c r="B16" s="76" t="s">
        <v>120</v>
      </c>
      <c r="C16" s="76" t="s">
        <v>108</v>
      </c>
      <c r="D16" s="76" t="s">
        <v>121</v>
      </c>
      <c r="E16" s="76" t="s">
        <v>122</v>
      </c>
      <c r="F16" s="76" t="s">
        <v>123</v>
      </c>
      <c r="G16" s="76" t="s">
        <v>124</v>
      </c>
      <c r="H16" s="76" t="s">
        <v>125</v>
      </c>
      <c r="I16" s="76" t="s">
        <v>126</v>
      </c>
    </row>
    <row r="17" spans="1:9" x14ac:dyDescent="0.3">
      <c r="A17" s="74" t="s">
        <v>114</v>
      </c>
      <c r="B17" s="74">
        <v>-15.555699022556389</v>
      </c>
      <c r="C17" s="74">
        <v>2.1411704057643179</v>
      </c>
      <c r="D17" s="74">
        <v>-7.2650448468175917</v>
      </c>
      <c r="E17" s="74">
        <v>2.7627803501334586E-6</v>
      </c>
      <c r="F17" s="74">
        <v>-20.119495710888781</v>
      </c>
      <c r="G17" s="74">
        <v>-10.991902334223997</v>
      </c>
      <c r="H17" s="74">
        <v>-20.119495710888781</v>
      </c>
      <c r="I17" s="74">
        <v>-10.991902334223997</v>
      </c>
    </row>
    <row r="18" spans="1:9" x14ac:dyDescent="0.3">
      <c r="A18" s="74" t="s">
        <v>127</v>
      </c>
      <c r="B18" s="74">
        <v>3.6666851127819546</v>
      </c>
      <c r="C18" s="74">
        <v>0.14585710686115672</v>
      </c>
      <c r="D18" s="74">
        <v>25.138885527685119</v>
      </c>
      <c r="E18" s="74">
        <v>1.1226300287903386E-13</v>
      </c>
      <c r="F18" s="74">
        <v>3.3557980486460788</v>
      </c>
      <c r="G18" s="74">
        <v>3.9775721769178305</v>
      </c>
      <c r="H18" s="74">
        <v>3.3557980486460788</v>
      </c>
      <c r="I18" s="74">
        <v>3.9775721769178305</v>
      </c>
    </row>
    <row r="19" spans="1:9" x14ac:dyDescent="0.3">
      <c r="A19" s="74" t="s">
        <v>128</v>
      </c>
      <c r="B19" s="74">
        <v>0</v>
      </c>
      <c r="C19" s="74">
        <v>0</v>
      </c>
      <c r="D19" s="74">
        <v>65535</v>
      </c>
      <c r="E19" s="74" t="e">
        <v>#NUM!</v>
      </c>
      <c r="F19" s="74">
        <v>0</v>
      </c>
      <c r="G19" s="74">
        <v>0</v>
      </c>
      <c r="H19" s="74">
        <v>0</v>
      </c>
      <c r="I19" s="74">
        <v>0</v>
      </c>
    </row>
    <row r="20" spans="1:9" x14ac:dyDescent="0.3">
      <c r="A20" s="74" t="s">
        <v>129</v>
      </c>
      <c r="B20" s="74">
        <v>0</v>
      </c>
      <c r="C20" s="74">
        <v>0</v>
      </c>
      <c r="D20" s="74">
        <v>65535</v>
      </c>
      <c r="E20" s="74" t="e">
        <v>#NUM!</v>
      </c>
      <c r="F20" s="74">
        <v>0</v>
      </c>
      <c r="G20" s="74">
        <v>0</v>
      </c>
      <c r="H20" s="74">
        <v>0</v>
      </c>
      <c r="I20" s="74">
        <v>0</v>
      </c>
    </row>
    <row r="21" spans="1:9" ht="15" thickBot="1" x14ac:dyDescent="0.35">
      <c r="A21" s="75" t="s">
        <v>130</v>
      </c>
      <c r="B21" s="75">
        <v>0</v>
      </c>
      <c r="C21" s="75">
        <v>0</v>
      </c>
      <c r="D21" s="75">
        <v>65535</v>
      </c>
      <c r="E21" s="75" t="e">
        <v>#NUM!</v>
      </c>
      <c r="F21" s="75">
        <v>0</v>
      </c>
      <c r="G21" s="75">
        <v>0</v>
      </c>
      <c r="H21" s="75">
        <v>0</v>
      </c>
      <c r="I21" s="75">
        <v>0</v>
      </c>
    </row>
    <row r="25" spans="1:9" x14ac:dyDescent="0.3">
      <c r="A25" t="s">
        <v>131</v>
      </c>
    </row>
    <row r="26" spans="1:9" ht="15" thickBot="1" x14ac:dyDescent="0.35"/>
    <row r="27" spans="1:9" x14ac:dyDescent="0.3">
      <c r="A27" s="76" t="s">
        <v>132</v>
      </c>
      <c r="B27" s="76" t="s">
        <v>133</v>
      </c>
      <c r="C27" s="76" t="s">
        <v>134</v>
      </c>
    </row>
    <row r="28" spans="1:9" x14ac:dyDescent="0.3">
      <c r="A28" s="74">
        <v>1</v>
      </c>
      <c r="B28" s="74">
        <v>-0.88895857142857082</v>
      </c>
      <c r="C28" s="74">
        <v>6.3333585714285707</v>
      </c>
    </row>
    <row r="29" spans="1:9" x14ac:dyDescent="0.3">
      <c r="A29" s="74">
        <v>2</v>
      </c>
      <c r="B29" s="74">
        <v>2.7777265413533847</v>
      </c>
      <c r="C29" s="74">
        <v>4.3333734586466157</v>
      </c>
    </row>
    <row r="30" spans="1:9" x14ac:dyDescent="0.3">
      <c r="A30" s="74">
        <v>3</v>
      </c>
      <c r="B30" s="74">
        <v>6.4444116541353367</v>
      </c>
      <c r="C30" s="74">
        <v>2.5555883458646633</v>
      </c>
    </row>
    <row r="31" spans="1:9" x14ac:dyDescent="0.3">
      <c r="A31" s="74">
        <v>4</v>
      </c>
      <c r="B31" s="74">
        <v>10.111096766917292</v>
      </c>
      <c r="C31" s="74">
        <v>1.0000032330827082</v>
      </c>
    </row>
    <row r="32" spans="1:9" x14ac:dyDescent="0.3">
      <c r="A32" s="74">
        <v>5</v>
      </c>
      <c r="B32" s="74">
        <v>13.777781879699248</v>
      </c>
      <c r="C32" s="74">
        <v>-0.33328187969924805</v>
      </c>
    </row>
    <row r="33" spans="1:3" x14ac:dyDescent="0.3">
      <c r="A33" s="74">
        <v>6</v>
      </c>
      <c r="B33" s="74">
        <v>17.444466992481203</v>
      </c>
      <c r="C33" s="74">
        <v>-1.4443669924812035</v>
      </c>
    </row>
    <row r="34" spans="1:3" x14ac:dyDescent="0.3">
      <c r="A34" s="74">
        <v>7</v>
      </c>
      <c r="B34" s="74">
        <v>21.111152105263159</v>
      </c>
      <c r="C34" s="74">
        <v>-2.3333521052631596</v>
      </c>
    </row>
    <row r="35" spans="1:3" x14ac:dyDescent="0.3">
      <c r="A35" s="74">
        <v>8</v>
      </c>
      <c r="B35" s="74">
        <v>24.777837218045114</v>
      </c>
      <c r="C35" s="74">
        <v>-2.9999372180451154</v>
      </c>
    </row>
    <row r="36" spans="1:3" x14ac:dyDescent="0.3">
      <c r="A36" s="74">
        <v>9</v>
      </c>
      <c r="B36" s="74">
        <v>28.444522330827063</v>
      </c>
      <c r="C36" s="74">
        <v>-3.444422330827063</v>
      </c>
    </row>
    <row r="37" spans="1:3" x14ac:dyDescent="0.3">
      <c r="A37" s="74">
        <v>10</v>
      </c>
      <c r="B37" s="74">
        <v>32.111207443609018</v>
      </c>
      <c r="C37" s="74">
        <v>-3.6667074436090168</v>
      </c>
    </row>
    <row r="38" spans="1:3" x14ac:dyDescent="0.3">
      <c r="A38" s="74">
        <v>11</v>
      </c>
      <c r="B38" s="74">
        <v>35.777892556390974</v>
      </c>
      <c r="C38" s="74">
        <v>-3.6666925563909771</v>
      </c>
    </row>
    <row r="39" spans="1:3" x14ac:dyDescent="0.3">
      <c r="A39" s="74">
        <v>12</v>
      </c>
      <c r="B39" s="74">
        <v>39.444577669172929</v>
      </c>
      <c r="C39" s="74">
        <v>-3.4445776691729293</v>
      </c>
    </row>
    <row r="40" spans="1:3" x14ac:dyDescent="0.3">
      <c r="A40" s="74">
        <v>13</v>
      </c>
      <c r="B40" s="74">
        <v>43.111262781954885</v>
      </c>
      <c r="C40" s="74">
        <v>-3.0001627819548844</v>
      </c>
    </row>
    <row r="41" spans="1:3" x14ac:dyDescent="0.3">
      <c r="A41" s="74">
        <v>14</v>
      </c>
      <c r="B41" s="74">
        <v>46.77794789473684</v>
      </c>
      <c r="C41" s="74">
        <v>-2.3334478947368424</v>
      </c>
    </row>
    <row r="42" spans="1:3" x14ac:dyDescent="0.3">
      <c r="A42" s="74">
        <v>15</v>
      </c>
      <c r="B42" s="74">
        <v>50.444633007518796</v>
      </c>
      <c r="C42" s="74">
        <v>-1.4446330075187959</v>
      </c>
    </row>
    <row r="43" spans="1:3" x14ac:dyDescent="0.3">
      <c r="A43" s="74">
        <v>16</v>
      </c>
      <c r="B43" s="74">
        <v>54.111318120300744</v>
      </c>
      <c r="C43" s="74">
        <v>-0.3334181203007418</v>
      </c>
    </row>
    <row r="44" spans="1:3" x14ac:dyDescent="0.3">
      <c r="A44" s="74">
        <v>17</v>
      </c>
      <c r="B44" s="74">
        <v>57.778003233082707</v>
      </c>
      <c r="C44" s="74">
        <v>0.99999676691729178</v>
      </c>
    </row>
    <row r="45" spans="1:3" x14ac:dyDescent="0.3">
      <c r="A45" s="74">
        <v>18</v>
      </c>
      <c r="B45" s="74">
        <v>61.444688345864655</v>
      </c>
      <c r="C45" s="74">
        <v>2.5557116541353437</v>
      </c>
    </row>
    <row r="46" spans="1:3" x14ac:dyDescent="0.3">
      <c r="A46" s="74">
        <v>19</v>
      </c>
      <c r="B46" s="74">
        <v>65.111373458646625</v>
      </c>
      <c r="C46" s="74">
        <v>4.3334265413533757</v>
      </c>
    </row>
    <row r="47" spans="1:3" ht="15" thickBot="1" x14ac:dyDescent="0.35">
      <c r="A47" s="75">
        <v>20</v>
      </c>
      <c r="B47" s="75">
        <v>68.778058571428573</v>
      </c>
      <c r="C47" s="75">
        <v>6.3335414285714222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J334"/>
  <sheetViews>
    <sheetView showGridLines="0" topLeftCell="T1" zoomScaleNormal="100" workbookViewId="0">
      <selection activeCell="AI14" sqref="AI14"/>
    </sheetView>
  </sheetViews>
  <sheetFormatPr defaultRowHeight="14.4" x14ac:dyDescent="0.3"/>
  <cols>
    <col min="4" max="5" width="9.21875" customWidth="1"/>
    <col min="6" max="6" width="11.44140625" customWidth="1"/>
    <col min="8" max="8" width="12.21875" customWidth="1"/>
    <col min="32" max="32" width="12" bestFit="1" customWidth="1"/>
  </cols>
  <sheetData>
    <row r="1" spans="2:36" x14ac:dyDescent="0.3">
      <c r="AH1">
        <f t="array" ref="AH1:AI1">LINEST(AG9:AG22,AF9:AF22)</f>
        <v>1.9985218425703992</v>
      </c>
      <c r="AI1">
        <v>4.5013380273974946E-3</v>
      </c>
    </row>
    <row r="4" spans="2:36" x14ac:dyDescent="0.3">
      <c r="B4" t="s">
        <v>97</v>
      </c>
      <c r="C4" t="s">
        <v>96</v>
      </c>
      <c r="D4" t="s">
        <v>95</v>
      </c>
      <c r="E4" t="s">
        <v>94</v>
      </c>
      <c r="F4" t="s">
        <v>93</v>
      </c>
      <c r="G4" t="s">
        <v>92</v>
      </c>
      <c r="H4" t="s">
        <v>91</v>
      </c>
      <c r="AB4">
        <f>AVERAGE(AB6:AB25)</f>
        <v>33.94455</v>
      </c>
    </row>
    <row r="5" spans="2:36" x14ac:dyDescent="0.3">
      <c r="B5">
        <v>1</v>
      </c>
      <c r="C5">
        <v>1</v>
      </c>
      <c r="D5">
        <v>1</v>
      </c>
      <c r="E5">
        <v>1</v>
      </c>
      <c r="F5" s="48">
        <v>1</v>
      </c>
      <c r="G5" s="48">
        <v>1</v>
      </c>
      <c r="H5" s="72">
        <v>1</v>
      </c>
      <c r="K5">
        <v>1</v>
      </c>
      <c r="L5">
        <f>K5*K5</f>
        <v>1</v>
      </c>
      <c r="M5">
        <f>LN(K5)</f>
        <v>0</v>
      </c>
      <c r="N5">
        <f>LN(L5)</f>
        <v>0</v>
      </c>
      <c r="X5" t="s">
        <v>98</v>
      </c>
      <c r="Y5" t="s">
        <v>99</v>
      </c>
      <c r="Z5" t="s">
        <v>100</v>
      </c>
      <c r="AA5" t="s">
        <v>101</v>
      </c>
      <c r="AB5" t="s">
        <v>102</v>
      </c>
      <c r="AC5" t="s">
        <v>92</v>
      </c>
      <c r="AF5">
        <f>SUMPRODUCT(AC6:AC25 - AB6:AB25,AC6:AC25-AB6:AB25)</f>
        <v>6.4469135801730905E-7</v>
      </c>
      <c r="AG5">
        <f>SUMPRODUCT(AB6:AB25-AB4, AB6:AB25 - AB4)</f>
        <v>9157.3941485699997</v>
      </c>
    </row>
    <row r="6" spans="2:36" x14ac:dyDescent="0.3">
      <c r="B6">
        <v>2</v>
      </c>
      <c r="C6">
        <v>1</v>
      </c>
      <c r="D6">
        <v>1</v>
      </c>
      <c r="E6">
        <v>1</v>
      </c>
      <c r="F6" s="48">
        <v>2.2500023488302401</v>
      </c>
      <c r="G6" s="48">
        <v>2.25</v>
      </c>
      <c r="H6" s="72">
        <v>1.0000010439245499</v>
      </c>
      <c r="K6">
        <v>2</v>
      </c>
      <c r="L6">
        <f>K6*K6</f>
        <v>4</v>
      </c>
      <c r="M6">
        <f>LN(K6)</f>
        <v>0.69314718055994529</v>
      </c>
      <c r="N6">
        <f>LN(L6)</f>
        <v>1.3862943611198906</v>
      </c>
      <c r="X6">
        <v>4</v>
      </c>
      <c r="Y6">
        <v>3</v>
      </c>
      <c r="Z6">
        <v>1</v>
      </c>
      <c r="AA6">
        <v>2</v>
      </c>
      <c r="AB6">
        <v>5.4443999999999999</v>
      </c>
      <c r="AC6">
        <f>((X6+Y6) / (Z6 + AA6)) ^2</f>
        <v>5.4444444444444455</v>
      </c>
      <c r="AD6" s="73">
        <v>1.0000009999999999</v>
      </c>
      <c r="AJ6">
        <v>1</v>
      </c>
    </row>
    <row r="7" spans="2:36" x14ac:dyDescent="0.3">
      <c r="B7">
        <v>2</v>
      </c>
      <c r="C7">
        <v>2</v>
      </c>
      <c r="D7">
        <v>1</v>
      </c>
      <c r="E7">
        <v>1</v>
      </c>
      <c r="F7" s="48">
        <v>4.00000000000004</v>
      </c>
      <c r="G7" s="48">
        <v>4</v>
      </c>
      <c r="H7" s="72">
        <v>1.00000000000001</v>
      </c>
      <c r="K7">
        <v>3</v>
      </c>
      <c r="L7">
        <f>K7*K7</f>
        <v>9</v>
      </c>
      <c r="M7">
        <f>LN(K7)</f>
        <v>1.0986122886681098</v>
      </c>
      <c r="N7">
        <f>LN(L7)</f>
        <v>2.1972245773362196</v>
      </c>
      <c r="X7">
        <v>5</v>
      </c>
      <c r="Y7">
        <v>3</v>
      </c>
      <c r="Z7">
        <v>1</v>
      </c>
      <c r="AA7">
        <v>2</v>
      </c>
      <c r="AB7">
        <v>7.1111000000000004</v>
      </c>
      <c r="AC7">
        <f t="shared" ref="AC7:AC25" si="0">((X7+Y7) / (Z7 + AA7)) ^2</f>
        <v>7.1111111111111107</v>
      </c>
      <c r="AD7" s="73">
        <v>1.0000009999999999</v>
      </c>
      <c r="AF7">
        <f>1-AF5/AG5</f>
        <v>0.99999999992959887</v>
      </c>
      <c r="AJ7">
        <v>2</v>
      </c>
    </row>
    <row r="8" spans="2:36" x14ac:dyDescent="0.3">
      <c r="B8">
        <v>2</v>
      </c>
      <c r="C8">
        <v>2</v>
      </c>
      <c r="D8">
        <v>1</v>
      </c>
      <c r="E8">
        <v>2</v>
      </c>
      <c r="F8" s="48">
        <v>1.7777789064084399</v>
      </c>
      <c r="G8" s="48">
        <v>1.7777777777777699</v>
      </c>
      <c r="H8" s="72">
        <v>1.0000006348547501</v>
      </c>
      <c r="K8">
        <v>4</v>
      </c>
      <c r="L8">
        <f>K8*K8</f>
        <v>16</v>
      </c>
      <c r="M8">
        <f>LN(K8)</f>
        <v>1.3862943611198906</v>
      </c>
      <c r="N8">
        <f>LN(L8)</f>
        <v>2.7725887222397811</v>
      </c>
      <c r="X8">
        <v>6</v>
      </c>
      <c r="Y8">
        <v>3</v>
      </c>
      <c r="Z8">
        <v>1</v>
      </c>
      <c r="AA8">
        <v>2</v>
      </c>
      <c r="AB8">
        <v>9</v>
      </c>
      <c r="AC8">
        <f t="shared" si="0"/>
        <v>9</v>
      </c>
      <c r="AD8" s="73">
        <v>1.0000020000000001</v>
      </c>
      <c r="AG8" t="s">
        <v>135</v>
      </c>
      <c r="AH8" t="s">
        <v>92</v>
      </c>
      <c r="AJ8">
        <v>3</v>
      </c>
    </row>
    <row r="9" spans="2:36" x14ac:dyDescent="0.3">
      <c r="B9">
        <v>2</v>
      </c>
      <c r="C9">
        <v>2</v>
      </c>
      <c r="D9">
        <v>2</v>
      </c>
      <c r="E9">
        <v>2</v>
      </c>
      <c r="F9" s="48">
        <v>1.0000000000004501</v>
      </c>
      <c r="G9" s="48">
        <v>1</v>
      </c>
      <c r="H9" s="72">
        <v>1.0000000000004501</v>
      </c>
      <c r="K9">
        <v>5</v>
      </c>
      <c r="L9">
        <f>K9*K9</f>
        <v>25</v>
      </c>
      <c r="M9">
        <f>LN(K9)</f>
        <v>1.6094379124341003</v>
      </c>
      <c r="N9">
        <f>LN(L9)</f>
        <v>3.2188758248682006</v>
      </c>
      <c r="X9">
        <v>7</v>
      </c>
      <c r="Y9">
        <v>3</v>
      </c>
      <c r="Z9">
        <v>1</v>
      </c>
      <c r="AA9">
        <v>2</v>
      </c>
      <c r="AB9">
        <v>11.1111</v>
      </c>
      <c r="AC9">
        <f t="shared" si="0"/>
        <v>11.111111111111112</v>
      </c>
      <c r="AD9" s="73">
        <v>1.000003</v>
      </c>
      <c r="AF9">
        <v>1</v>
      </c>
      <c r="AG9">
        <v>2.015490257860701</v>
      </c>
      <c r="AH9">
        <f>$AH$1*AF9 + $AI$1</f>
        <v>2.0030231805977969</v>
      </c>
    </row>
    <row r="10" spans="2:36" x14ac:dyDescent="0.3">
      <c r="B10">
        <v>3</v>
      </c>
      <c r="C10">
        <v>1</v>
      </c>
      <c r="D10">
        <v>1</v>
      </c>
      <c r="E10">
        <v>1</v>
      </c>
      <c r="F10" s="48">
        <v>4.0000094137664703</v>
      </c>
      <c r="G10" s="48">
        <v>4</v>
      </c>
      <c r="H10" s="72">
        <v>1.00000235344161</v>
      </c>
      <c r="K10">
        <v>6</v>
      </c>
      <c r="L10">
        <f>K10*K10</f>
        <v>36</v>
      </c>
      <c r="M10">
        <f>LN(K10)</f>
        <v>1.791759469228055</v>
      </c>
      <c r="N10">
        <f>LN(L10)</f>
        <v>3.5835189384561099</v>
      </c>
      <c r="X10">
        <v>8</v>
      </c>
      <c r="Y10">
        <v>3</v>
      </c>
      <c r="Z10">
        <v>1</v>
      </c>
      <c r="AA10">
        <v>2</v>
      </c>
      <c r="AB10">
        <v>13.4445</v>
      </c>
      <c r="AC10">
        <f t="shared" si="0"/>
        <v>13.444444444444443</v>
      </c>
      <c r="AD10" s="73">
        <v>1.000003</v>
      </c>
      <c r="AF10">
        <v>2</v>
      </c>
      <c r="AG10">
        <v>4.0370715316819075</v>
      </c>
      <c r="AH10">
        <f t="shared" ref="AH10:AH22" si="1">$AH$1*AF10 + $AI$1</f>
        <v>4.0015450231681964</v>
      </c>
    </row>
    <row r="11" spans="2:36" x14ac:dyDescent="0.3">
      <c r="B11">
        <v>3</v>
      </c>
      <c r="C11">
        <v>2</v>
      </c>
      <c r="D11">
        <v>1</v>
      </c>
      <c r="E11">
        <v>1</v>
      </c>
      <c r="F11" s="48">
        <v>6.2500034469892602</v>
      </c>
      <c r="G11" s="48">
        <v>6.25</v>
      </c>
      <c r="H11" s="72">
        <v>1.0000005515182799</v>
      </c>
      <c r="K11">
        <v>7</v>
      </c>
      <c r="L11">
        <f>K11*K11</f>
        <v>49</v>
      </c>
      <c r="M11">
        <f>LN(K11)</f>
        <v>1.9459101490553132</v>
      </c>
      <c r="N11">
        <f>LN(L11)</f>
        <v>3.8918202981106265</v>
      </c>
      <c r="X11">
        <v>9</v>
      </c>
      <c r="Y11">
        <v>3</v>
      </c>
      <c r="Z11">
        <v>1</v>
      </c>
      <c r="AA11">
        <v>2</v>
      </c>
      <c r="AB11">
        <v>16.0001</v>
      </c>
      <c r="AC11">
        <f t="shared" si="0"/>
        <v>16</v>
      </c>
      <c r="AD11" s="73">
        <v>1.000003</v>
      </c>
      <c r="AF11">
        <v>3</v>
      </c>
      <c r="AG11">
        <v>5.9649492622979139</v>
      </c>
      <c r="AH11">
        <f t="shared" si="1"/>
        <v>6.0000668657385949</v>
      </c>
    </row>
    <row r="12" spans="2:36" x14ac:dyDescent="0.3">
      <c r="B12">
        <v>3</v>
      </c>
      <c r="C12">
        <v>2</v>
      </c>
      <c r="D12">
        <v>1</v>
      </c>
      <c r="E12">
        <v>2</v>
      </c>
      <c r="F12" s="48">
        <v>2.7777831173963698</v>
      </c>
      <c r="G12" s="48">
        <v>2.7777777777777701</v>
      </c>
      <c r="H12" s="72">
        <v>1.0000019222626899</v>
      </c>
      <c r="K12">
        <v>8</v>
      </c>
      <c r="L12">
        <f>K12*K12</f>
        <v>64</v>
      </c>
      <c r="M12">
        <f>LN(K12)</f>
        <v>2.0794415416798357</v>
      </c>
      <c r="N12">
        <f>LN(L12)</f>
        <v>4.1588830833596715</v>
      </c>
      <c r="X12">
        <v>10</v>
      </c>
      <c r="Y12">
        <v>3</v>
      </c>
      <c r="Z12">
        <v>1</v>
      </c>
      <c r="AA12">
        <v>2</v>
      </c>
      <c r="AB12">
        <v>18.777799999999999</v>
      </c>
      <c r="AC12">
        <f t="shared" si="0"/>
        <v>18.777777777777775</v>
      </c>
      <c r="AD12" s="73">
        <v>1.0000020000000001</v>
      </c>
      <c r="AF12">
        <v>4</v>
      </c>
      <c r="AG12">
        <v>8.0230701985607684</v>
      </c>
      <c r="AH12">
        <f t="shared" si="1"/>
        <v>7.9985887083089944</v>
      </c>
    </row>
    <row r="13" spans="2:36" x14ac:dyDescent="0.3">
      <c r="B13">
        <v>3</v>
      </c>
      <c r="C13">
        <v>2</v>
      </c>
      <c r="D13">
        <v>2</v>
      </c>
      <c r="E13">
        <v>2</v>
      </c>
      <c r="F13" s="48">
        <v>1.5625052739151899</v>
      </c>
      <c r="G13" s="48">
        <v>1.5625</v>
      </c>
      <c r="H13" s="72">
        <v>1.00000337530572</v>
      </c>
      <c r="K13">
        <v>9</v>
      </c>
      <c r="L13">
        <f>K13*K13</f>
        <v>81</v>
      </c>
      <c r="M13">
        <f>LN(K13)</f>
        <v>2.1972245773362196</v>
      </c>
      <c r="N13">
        <f>LN(L13)</f>
        <v>4.3944491546724391</v>
      </c>
      <c r="X13">
        <v>11</v>
      </c>
      <c r="Y13">
        <v>3</v>
      </c>
      <c r="Z13">
        <v>1</v>
      </c>
      <c r="AA13">
        <v>2</v>
      </c>
      <c r="AB13">
        <v>21.777899999999999</v>
      </c>
      <c r="AC13">
        <f t="shared" si="0"/>
        <v>21.777777777777782</v>
      </c>
      <c r="AD13" s="73">
        <v>1.000003</v>
      </c>
      <c r="AF13">
        <v>5</v>
      </c>
      <c r="AG13">
        <v>9.9612079013528874</v>
      </c>
      <c r="AH13">
        <f t="shared" si="1"/>
        <v>9.9971105508793929</v>
      </c>
      <c r="AI13">
        <f>SUMPRODUCT(AH9:AH22-AG9:AG22,AH9:AH22-AG9:AG22)</f>
        <v>1.1303067170050828E-2</v>
      </c>
      <c r="AJ13">
        <v>8</v>
      </c>
    </row>
    <row r="14" spans="2:36" x14ac:dyDescent="0.3">
      <c r="B14">
        <v>3</v>
      </c>
      <c r="C14">
        <v>3</v>
      </c>
      <c r="D14">
        <v>1</v>
      </c>
      <c r="E14">
        <v>1</v>
      </c>
      <c r="F14" s="48">
        <v>9.0000000000003109</v>
      </c>
      <c r="G14" s="48">
        <v>9</v>
      </c>
      <c r="H14" s="72">
        <v>1.00000000000003</v>
      </c>
      <c r="K14">
        <v>10</v>
      </c>
      <c r="L14">
        <f>K14*K14</f>
        <v>100</v>
      </c>
      <c r="M14">
        <f>LN(K14)</f>
        <v>2.3025850929940459</v>
      </c>
      <c r="N14">
        <f>LN(L14)</f>
        <v>4.6051701859880918</v>
      </c>
      <c r="X14">
        <v>12</v>
      </c>
      <c r="Y14">
        <v>3</v>
      </c>
      <c r="Z14">
        <v>1</v>
      </c>
      <c r="AA14">
        <v>2</v>
      </c>
      <c r="AB14">
        <v>25.0001</v>
      </c>
      <c r="AC14">
        <f t="shared" si="0"/>
        <v>25</v>
      </c>
      <c r="AD14" s="73">
        <v>1.0000020000000001</v>
      </c>
      <c r="AF14">
        <v>6</v>
      </c>
      <c r="AG14">
        <v>11.952401322500645</v>
      </c>
      <c r="AH14">
        <f t="shared" si="1"/>
        <v>11.995632393449792</v>
      </c>
      <c r="AI14">
        <f>SUMPRODUCT( AG9:AG22-AG24, AG9:AG22-AG24)</f>
        <v>908.66667688221901</v>
      </c>
      <c r="AJ14">
        <v>9</v>
      </c>
    </row>
    <row r="15" spans="2:36" x14ac:dyDescent="0.3">
      <c r="B15">
        <v>3</v>
      </c>
      <c r="C15">
        <v>3</v>
      </c>
      <c r="D15">
        <v>1</v>
      </c>
      <c r="E15">
        <v>2</v>
      </c>
      <c r="F15" s="48">
        <v>4.0000080361478298</v>
      </c>
      <c r="G15" s="48">
        <v>4</v>
      </c>
      <c r="H15" s="72">
        <v>1.0000020090369499</v>
      </c>
      <c r="K15">
        <v>11</v>
      </c>
      <c r="L15">
        <f>K15*K15</f>
        <v>121</v>
      </c>
      <c r="M15">
        <f>LN(K15)</f>
        <v>2.3978952727983707</v>
      </c>
      <c r="N15">
        <f>LN(L15)</f>
        <v>4.7957905455967413</v>
      </c>
      <c r="X15">
        <v>13</v>
      </c>
      <c r="Y15">
        <v>3</v>
      </c>
      <c r="Z15">
        <v>1</v>
      </c>
      <c r="AA15">
        <v>2</v>
      </c>
      <c r="AB15">
        <v>28.444500000000001</v>
      </c>
      <c r="AC15">
        <f t="shared" si="0"/>
        <v>28.444444444444443</v>
      </c>
      <c r="AD15" s="73">
        <v>1.000003</v>
      </c>
      <c r="AF15">
        <v>7</v>
      </c>
      <c r="AG15">
        <v>14.02760670537203</v>
      </c>
      <c r="AH15">
        <f t="shared" si="1"/>
        <v>13.994154236020192</v>
      </c>
      <c r="AI15">
        <f>1-AI13/AI14</f>
        <v>0.99998756082130269</v>
      </c>
      <c r="AJ15">
        <v>10</v>
      </c>
    </row>
    <row r="16" spans="2:36" x14ac:dyDescent="0.3">
      <c r="B16">
        <v>3</v>
      </c>
      <c r="C16">
        <v>3</v>
      </c>
      <c r="D16">
        <v>2</v>
      </c>
      <c r="E16">
        <v>2</v>
      </c>
      <c r="F16" s="48">
        <v>2.2500000000010698</v>
      </c>
      <c r="G16" s="48">
        <v>2.25</v>
      </c>
      <c r="H16" s="72">
        <v>1.0000000000004701</v>
      </c>
      <c r="K16">
        <v>12</v>
      </c>
      <c r="L16">
        <f>K16*K16</f>
        <v>144</v>
      </c>
      <c r="M16">
        <f>LN(K16)</f>
        <v>2.4849066497880004</v>
      </c>
      <c r="N16">
        <f>LN(L16)</f>
        <v>4.9698132995760007</v>
      </c>
      <c r="X16">
        <v>14</v>
      </c>
      <c r="Y16">
        <v>3</v>
      </c>
      <c r="Z16">
        <v>1</v>
      </c>
      <c r="AA16">
        <v>2</v>
      </c>
      <c r="AB16">
        <v>32.111199999999997</v>
      </c>
      <c r="AC16">
        <f t="shared" si="0"/>
        <v>32.111111111111114</v>
      </c>
      <c r="AD16">
        <v>1.0000009999999999</v>
      </c>
      <c r="AF16">
        <v>8</v>
      </c>
      <c r="AG16">
        <v>15.993218965691533</v>
      </c>
      <c r="AH16">
        <f t="shared" si="1"/>
        <v>15.992676078590591</v>
      </c>
      <c r="AI16">
        <f>RSQ(AG9:AG22,AF9:AF22)</f>
        <v>0.99998756082130225</v>
      </c>
      <c r="AJ16">
        <v>11</v>
      </c>
    </row>
    <row r="17" spans="2:36" x14ac:dyDescent="0.3">
      <c r="B17">
        <v>3</v>
      </c>
      <c r="C17">
        <v>3</v>
      </c>
      <c r="D17">
        <v>1</v>
      </c>
      <c r="E17">
        <v>3</v>
      </c>
      <c r="F17" s="48">
        <v>2.2500098804485198</v>
      </c>
      <c r="G17" s="48">
        <v>2.25</v>
      </c>
      <c r="H17" s="72">
        <v>1.0000043913104499</v>
      </c>
      <c r="K17">
        <v>13</v>
      </c>
      <c r="L17">
        <f>K17*K17</f>
        <v>169</v>
      </c>
      <c r="M17">
        <f>LN(K17)</f>
        <v>2.5649493574615367</v>
      </c>
      <c r="N17">
        <f>LN(L17)</f>
        <v>5.1298987149230735</v>
      </c>
      <c r="X17">
        <v>15</v>
      </c>
      <c r="Y17">
        <v>3</v>
      </c>
      <c r="Z17">
        <v>1</v>
      </c>
      <c r="AA17">
        <v>2</v>
      </c>
      <c r="AB17">
        <v>36</v>
      </c>
      <c r="AC17">
        <f t="shared" si="0"/>
        <v>36</v>
      </c>
      <c r="AD17">
        <v>1.0000009999999999</v>
      </c>
      <c r="AF17">
        <v>9</v>
      </c>
      <c r="AG17">
        <v>18.023098188754776</v>
      </c>
      <c r="AH17">
        <f t="shared" si="1"/>
        <v>17.991197921160989</v>
      </c>
      <c r="AJ17">
        <v>12</v>
      </c>
    </row>
    <row r="18" spans="2:36" x14ac:dyDescent="0.3">
      <c r="B18">
        <v>3</v>
      </c>
      <c r="C18">
        <v>3</v>
      </c>
      <c r="D18">
        <v>2</v>
      </c>
      <c r="E18">
        <v>3</v>
      </c>
      <c r="F18" s="48">
        <v>1.4400009767828701</v>
      </c>
      <c r="G18" s="48">
        <v>1.44</v>
      </c>
      <c r="H18" s="72">
        <v>1.0000006783214399</v>
      </c>
      <c r="K18">
        <v>14</v>
      </c>
      <c r="L18">
        <f>K18*K18</f>
        <v>196</v>
      </c>
      <c r="M18">
        <f>LN(K18)</f>
        <v>2.6390573296152584</v>
      </c>
      <c r="N18">
        <f>LN(L18)</f>
        <v>5.2781146592305168</v>
      </c>
      <c r="X18">
        <v>16</v>
      </c>
      <c r="Y18">
        <v>3</v>
      </c>
      <c r="Z18">
        <v>1</v>
      </c>
      <c r="AA18">
        <v>2</v>
      </c>
      <c r="AB18">
        <v>40.1111</v>
      </c>
      <c r="AC18">
        <f t="shared" si="0"/>
        <v>40.111111111111107</v>
      </c>
      <c r="AD18">
        <v>1</v>
      </c>
      <c r="AF18">
        <v>10</v>
      </c>
      <c r="AG18">
        <v>19.957154760803423</v>
      </c>
      <c r="AH18">
        <f t="shared" si="1"/>
        <v>19.989719763731387</v>
      </c>
      <c r="AJ18">
        <v>13</v>
      </c>
    </row>
    <row r="19" spans="2:36" x14ac:dyDescent="0.3">
      <c r="B19">
        <v>3</v>
      </c>
      <c r="C19">
        <v>3</v>
      </c>
      <c r="D19">
        <v>3</v>
      </c>
      <c r="E19">
        <v>3</v>
      </c>
      <c r="F19" s="48">
        <v>1.00000000000004</v>
      </c>
      <c r="G19" s="48">
        <v>1</v>
      </c>
      <c r="H19" s="72">
        <v>1.00000000000004</v>
      </c>
      <c r="K19">
        <v>15</v>
      </c>
      <c r="L19">
        <f>K19*K19</f>
        <v>225</v>
      </c>
      <c r="M19">
        <f>LN(K19)</f>
        <v>2.7080502011022101</v>
      </c>
      <c r="N19">
        <f>LN(L19)</f>
        <v>5.4161004022044201</v>
      </c>
      <c r="X19">
        <v>17</v>
      </c>
      <c r="Y19">
        <v>3</v>
      </c>
      <c r="Z19">
        <v>1</v>
      </c>
      <c r="AA19">
        <v>2</v>
      </c>
      <c r="AB19">
        <v>44.444499999999998</v>
      </c>
      <c r="AC19">
        <f t="shared" si="0"/>
        <v>44.44444444444445</v>
      </c>
      <c r="AD19">
        <v>1.0000009999999999</v>
      </c>
      <c r="AF19">
        <v>11</v>
      </c>
      <c r="AG19">
        <v>21.97441594415416</v>
      </c>
      <c r="AH19">
        <f t="shared" si="1"/>
        <v>21.988241606301791</v>
      </c>
      <c r="AJ19">
        <v>14</v>
      </c>
    </row>
    <row r="20" spans="2:36" x14ac:dyDescent="0.3">
      <c r="B20">
        <v>4</v>
      </c>
      <c r="C20">
        <v>1</v>
      </c>
      <c r="D20">
        <v>1</v>
      </c>
      <c r="E20">
        <v>1</v>
      </c>
      <c r="F20" s="48">
        <v>6.2500333519817701</v>
      </c>
      <c r="G20" s="48">
        <v>6.25</v>
      </c>
      <c r="H20" s="72">
        <v>1.00000533631708</v>
      </c>
      <c r="K20">
        <v>16</v>
      </c>
      <c r="L20">
        <f>K20*K20</f>
        <v>256</v>
      </c>
      <c r="M20">
        <f>LN(K20)</f>
        <v>2.7725887222397811</v>
      </c>
      <c r="N20">
        <f>LN(L20)</f>
        <v>5.5451774444795623</v>
      </c>
      <c r="X20">
        <v>18</v>
      </c>
      <c r="Y20">
        <v>3</v>
      </c>
      <c r="Z20">
        <v>1</v>
      </c>
      <c r="AA20">
        <v>2</v>
      </c>
      <c r="AB20">
        <v>49</v>
      </c>
      <c r="AC20">
        <f t="shared" si="0"/>
        <v>49</v>
      </c>
      <c r="AD20">
        <v>1.0000009999999999</v>
      </c>
      <c r="AF20">
        <v>12</v>
      </c>
      <c r="AG20">
        <v>23.968458947360428</v>
      </c>
      <c r="AH20">
        <f t="shared" si="1"/>
        <v>23.986763448872189</v>
      </c>
      <c r="AJ20">
        <v>15</v>
      </c>
    </row>
    <row r="21" spans="2:36" x14ac:dyDescent="0.3">
      <c r="B21">
        <v>4</v>
      </c>
      <c r="C21">
        <v>2</v>
      </c>
      <c r="D21">
        <v>1</v>
      </c>
      <c r="E21">
        <v>1</v>
      </c>
      <c r="F21" s="48">
        <v>9.0000057298453502</v>
      </c>
      <c r="G21" s="48">
        <v>9</v>
      </c>
      <c r="H21" s="72">
        <v>1.00000063664948</v>
      </c>
      <c r="K21">
        <v>17</v>
      </c>
      <c r="L21">
        <f>K21*K21</f>
        <v>289</v>
      </c>
      <c r="M21">
        <f>LN(K21)</f>
        <v>2.8332133440562162</v>
      </c>
      <c r="N21">
        <f>LN(L21)</f>
        <v>5.6664266881124323</v>
      </c>
      <c r="X21">
        <v>19</v>
      </c>
      <c r="Y21">
        <v>3</v>
      </c>
      <c r="Z21">
        <v>1</v>
      </c>
      <c r="AA21">
        <v>2</v>
      </c>
      <c r="AB21">
        <v>53.777900000000002</v>
      </c>
      <c r="AC21">
        <f t="shared" si="0"/>
        <v>53.777777777777771</v>
      </c>
      <c r="AD21">
        <v>1.000003</v>
      </c>
      <c r="AF21">
        <v>13</v>
      </c>
      <c r="AG21">
        <v>26.018766388662762</v>
      </c>
      <c r="AH21">
        <f t="shared" si="1"/>
        <v>25.985285291442587</v>
      </c>
      <c r="AJ21">
        <v>16</v>
      </c>
    </row>
    <row r="22" spans="2:36" x14ac:dyDescent="0.3">
      <c r="B22">
        <v>4</v>
      </c>
      <c r="C22">
        <v>2</v>
      </c>
      <c r="D22">
        <v>1</v>
      </c>
      <c r="E22">
        <v>2</v>
      </c>
      <c r="F22" s="48">
        <v>4.00000425167541</v>
      </c>
      <c r="G22" s="48">
        <v>4</v>
      </c>
      <c r="H22" s="72">
        <v>1.00000106291885</v>
      </c>
      <c r="K22">
        <v>18</v>
      </c>
      <c r="L22">
        <f>K22*K22</f>
        <v>324</v>
      </c>
      <c r="M22">
        <f>LN(K22)</f>
        <v>2.8903717578961645</v>
      </c>
      <c r="N22">
        <f>LN(L22)</f>
        <v>5.780743515792329</v>
      </c>
      <c r="X22">
        <v>20</v>
      </c>
      <c r="Y22">
        <v>3</v>
      </c>
      <c r="Z22">
        <v>1</v>
      </c>
      <c r="AA22">
        <v>2</v>
      </c>
      <c r="AB22">
        <v>58.777999999999999</v>
      </c>
      <c r="AC22">
        <f t="shared" si="0"/>
        <v>58.777777777777786</v>
      </c>
      <c r="AD22">
        <v>1.000003</v>
      </c>
      <c r="AF22">
        <v>14</v>
      </c>
      <c r="AG22">
        <v>27.990901827221574</v>
      </c>
      <c r="AH22">
        <f t="shared" si="1"/>
        <v>27.983807134012984</v>
      </c>
      <c r="AJ22">
        <v>17</v>
      </c>
    </row>
    <row r="23" spans="2:36" x14ac:dyDescent="0.3">
      <c r="B23">
        <v>4</v>
      </c>
      <c r="C23">
        <v>2</v>
      </c>
      <c r="D23">
        <v>2</v>
      </c>
      <c r="E23">
        <v>2</v>
      </c>
      <c r="F23" s="48">
        <v>2.2500032785484501</v>
      </c>
      <c r="G23" s="48">
        <v>2.25</v>
      </c>
      <c r="H23" s="72">
        <v>1.0000014571326401</v>
      </c>
      <c r="X23">
        <v>21</v>
      </c>
      <c r="Y23">
        <v>3</v>
      </c>
      <c r="Z23">
        <v>1</v>
      </c>
      <c r="AA23">
        <v>2</v>
      </c>
      <c r="AB23">
        <v>64.000399999999999</v>
      </c>
      <c r="AC23">
        <f t="shared" si="0"/>
        <v>64</v>
      </c>
      <c r="AD23">
        <v>1.000006</v>
      </c>
      <c r="AJ23">
        <v>18</v>
      </c>
    </row>
    <row r="24" spans="2:36" x14ac:dyDescent="0.3">
      <c r="B24">
        <v>4</v>
      </c>
      <c r="C24">
        <v>3</v>
      </c>
      <c r="D24">
        <v>1</v>
      </c>
      <c r="E24">
        <v>1</v>
      </c>
      <c r="F24" s="48">
        <v>12.250005890866101</v>
      </c>
      <c r="G24" s="48">
        <v>12.25</v>
      </c>
      <c r="H24" s="72">
        <v>1.00000048088702</v>
      </c>
      <c r="X24">
        <v>22</v>
      </c>
      <c r="Y24">
        <v>3</v>
      </c>
      <c r="Z24">
        <v>1</v>
      </c>
      <c r="AA24">
        <v>2</v>
      </c>
      <c r="AB24">
        <v>69.444800000000001</v>
      </c>
      <c r="AC24">
        <f t="shared" si="0"/>
        <v>69.444444444444457</v>
      </c>
      <c r="AD24">
        <v>1.000005</v>
      </c>
      <c r="AF24">
        <f>AVERAGE(AF9:AF22)</f>
        <v>7.5</v>
      </c>
      <c r="AG24">
        <f>AVERAGE(AG9:AG22)</f>
        <v>14.993415157305392</v>
      </c>
      <c r="AH24">
        <f>AVERAGE(AH9:AH22)</f>
        <v>14.993415157305391</v>
      </c>
      <c r="AJ24">
        <v>19</v>
      </c>
    </row>
    <row r="25" spans="2:36" x14ac:dyDescent="0.3">
      <c r="B25">
        <v>4</v>
      </c>
      <c r="C25">
        <v>3</v>
      </c>
      <c r="D25">
        <v>1</v>
      </c>
      <c r="E25">
        <v>2</v>
      </c>
      <c r="F25" s="48">
        <v>5.4444489887929599</v>
      </c>
      <c r="G25" s="48">
        <v>5.4444444444444402</v>
      </c>
      <c r="H25" s="72">
        <v>1.0000008346762499</v>
      </c>
      <c r="X25">
        <v>23</v>
      </c>
      <c r="Y25">
        <v>3</v>
      </c>
      <c r="Z25">
        <v>1</v>
      </c>
      <c r="AA25">
        <v>2</v>
      </c>
      <c r="AB25">
        <v>75.111599999999996</v>
      </c>
      <c r="AC25">
        <f t="shared" si="0"/>
        <v>75.1111111111111</v>
      </c>
      <c r="AD25">
        <v>1.0000070000000001</v>
      </c>
      <c r="AJ25">
        <v>20</v>
      </c>
    </row>
    <row r="26" spans="2:36" x14ac:dyDescent="0.3">
      <c r="B26">
        <v>4</v>
      </c>
      <c r="C26">
        <v>3</v>
      </c>
      <c r="D26">
        <v>2</v>
      </c>
      <c r="E26">
        <v>2</v>
      </c>
      <c r="F26" s="48">
        <v>3.0625121920974601</v>
      </c>
      <c r="G26" s="48">
        <v>3.0625</v>
      </c>
      <c r="H26" s="72">
        <v>1.0000039810930399</v>
      </c>
    </row>
    <row r="27" spans="2:36" x14ac:dyDescent="0.3">
      <c r="B27">
        <v>4</v>
      </c>
      <c r="C27">
        <v>3</v>
      </c>
      <c r="D27">
        <v>1</v>
      </c>
      <c r="E27">
        <v>3</v>
      </c>
      <c r="F27" s="48">
        <v>3.0625008409181702</v>
      </c>
      <c r="G27" s="48">
        <v>3.0625</v>
      </c>
      <c r="H27" s="72">
        <v>1.0000002745855201</v>
      </c>
    </row>
    <row r="28" spans="2:36" x14ac:dyDescent="0.3">
      <c r="B28">
        <v>4</v>
      </c>
      <c r="C28">
        <v>3</v>
      </c>
      <c r="D28">
        <v>2</v>
      </c>
      <c r="E28">
        <v>3</v>
      </c>
      <c r="F28" s="48">
        <v>1.9600033428474399</v>
      </c>
      <c r="G28" s="48">
        <v>1.95999999999999</v>
      </c>
      <c r="H28" s="72">
        <v>1.0000017055344099</v>
      </c>
      <c r="AD28" s="73"/>
    </row>
    <row r="29" spans="2:36" x14ac:dyDescent="0.3">
      <c r="B29">
        <v>4</v>
      </c>
      <c r="C29">
        <v>3</v>
      </c>
      <c r="D29">
        <v>3</v>
      </c>
      <c r="E29">
        <v>3</v>
      </c>
      <c r="F29" s="48">
        <v>1.3611136715805601</v>
      </c>
      <c r="G29" s="48">
        <v>1.3611111111111101</v>
      </c>
      <c r="H29" s="72">
        <v>1.0000018811612199</v>
      </c>
      <c r="AD29" s="73"/>
    </row>
    <row r="30" spans="2:36" x14ac:dyDescent="0.3">
      <c r="B30">
        <v>4</v>
      </c>
      <c r="C30">
        <v>4</v>
      </c>
      <c r="D30">
        <v>1</v>
      </c>
      <c r="E30">
        <v>1</v>
      </c>
      <c r="F30" s="48">
        <v>16.000000000002601</v>
      </c>
      <c r="G30" s="48">
        <v>16</v>
      </c>
      <c r="H30" s="72">
        <v>1.0000000000001601</v>
      </c>
      <c r="Q30" s="73"/>
      <c r="AD30" s="73"/>
    </row>
    <row r="31" spans="2:36" x14ac:dyDescent="0.3">
      <c r="B31">
        <v>4</v>
      </c>
      <c r="C31">
        <v>4</v>
      </c>
      <c r="D31">
        <v>1</v>
      </c>
      <c r="E31">
        <v>2</v>
      </c>
      <c r="F31" s="48">
        <v>7.11112834816974</v>
      </c>
      <c r="G31" s="48">
        <v>7.1111111111111098</v>
      </c>
      <c r="H31" s="72">
        <v>1.0000024239613701</v>
      </c>
      <c r="Q31" s="73"/>
      <c r="R31" s="73"/>
      <c r="AD31" s="73"/>
    </row>
    <row r="32" spans="2:36" x14ac:dyDescent="0.3">
      <c r="B32">
        <v>4</v>
      </c>
      <c r="C32">
        <v>4</v>
      </c>
      <c r="D32">
        <v>2</v>
      </c>
      <c r="E32">
        <v>2</v>
      </c>
      <c r="F32" s="48">
        <v>4.0000000000007203</v>
      </c>
      <c r="G32" s="48">
        <v>4</v>
      </c>
      <c r="H32" s="72">
        <v>1.0000000000001801</v>
      </c>
      <c r="Q32" s="73"/>
      <c r="R32" s="73"/>
      <c r="AD32" s="73"/>
    </row>
    <row r="33" spans="2:30" x14ac:dyDescent="0.3">
      <c r="B33">
        <v>4</v>
      </c>
      <c r="C33">
        <v>4</v>
      </c>
      <c r="D33">
        <v>1</v>
      </c>
      <c r="E33">
        <v>3</v>
      </c>
      <c r="F33" s="48">
        <v>4.0000118377349896</v>
      </c>
      <c r="G33" s="48">
        <v>4</v>
      </c>
      <c r="H33" s="72">
        <v>1.0000029594337401</v>
      </c>
      <c r="Q33" s="73"/>
      <c r="R33" s="73"/>
      <c r="AD33" s="73"/>
    </row>
    <row r="34" spans="2:30" x14ac:dyDescent="0.3">
      <c r="B34">
        <v>4</v>
      </c>
      <c r="C34">
        <v>4</v>
      </c>
      <c r="D34">
        <v>2</v>
      </c>
      <c r="E34">
        <v>3</v>
      </c>
      <c r="F34" s="48">
        <v>2.5600053137965801</v>
      </c>
      <c r="G34" s="48">
        <v>2.56</v>
      </c>
      <c r="H34" s="72">
        <v>1.00000207570179</v>
      </c>
      <c r="Q34" s="73"/>
      <c r="R34" s="73"/>
      <c r="AD34" s="73"/>
    </row>
    <row r="35" spans="2:30" x14ac:dyDescent="0.3">
      <c r="B35">
        <v>4</v>
      </c>
      <c r="C35">
        <v>4</v>
      </c>
      <c r="D35">
        <v>3</v>
      </c>
      <c r="E35">
        <v>3</v>
      </c>
      <c r="F35" s="48">
        <v>1.7777777777778101</v>
      </c>
      <c r="G35" s="48">
        <v>1.7777777777777699</v>
      </c>
      <c r="H35" s="72">
        <v>1.00000000000002</v>
      </c>
      <c r="Q35" s="73"/>
      <c r="R35" s="73"/>
      <c r="AD35" s="73"/>
    </row>
    <row r="36" spans="2:30" x14ac:dyDescent="0.3">
      <c r="B36">
        <v>4</v>
      </c>
      <c r="C36">
        <v>4</v>
      </c>
      <c r="D36">
        <v>1</v>
      </c>
      <c r="E36">
        <v>4</v>
      </c>
      <c r="F36" s="48">
        <v>2.5600059467945799</v>
      </c>
      <c r="G36" s="48">
        <v>2.56</v>
      </c>
      <c r="H36" s="72">
        <v>1.0000023229666299</v>
      </c>
      <c r="Q36" s="73"/>
      <c r="R36" s="73"/>
      <c r="AD36" s="73"/>
    </row>
    <row r="37" spans="2:30" x14ac:dyDescent="0.3">
      <c r="B37">
        <v>4</v>
      </c>
      <c r="C37">
        <v>4</v>
      </c>
      <c r="D37">
        <v>2</v>
      </c>
      <c r="E37">
        <v>4</v>
      </c>
      <c r="F37" s="48">
        <v>1.77778042287861</v>
      </c>
      <c r="G37" s="48">
        <v>1.7777777777777699</v>
      </c>
      <c r="H37" s="72">
        <v>1.0000014878692201</v>
      </c>
      <c r="Q37" s="73"/>
      <c r="R37" s="73"/>
      <c r="AD37" s="73"/>
    </row>
    <row r="38" spans="2:30" x14ac:dyDescent="0.3">
      <c r="B38">
        <v>4</v>
      </c>
      <c r="C38">
        <v>4</v>
      </c>
      <c r="D38">
        <v>3</v>
      </c>
      <c r="E38">
        <v>4</v>
      </c>
      <c r="F38" s="48">
        <v>1.3061238273466</v>
      </c>
      <c r="G38" s="48">
        <v>1.30612244897959</v>
      </c>
      <c r="H38" s="72">
        <v>1.00000105531224</v>
      </c>
      <c r="Q38" s="73"/>
      <c r="R38" s="73"/>
      <c r="AD38" s="73"/>
    </row>
    <row r="39" spans="2:30" x14ac:dyDescent="0.3">
      <c r="B39">
        <v>4</v>
      </c>
      <c r="C39">
        <v>4</v>
      </c>
      <c r="D39">
        <v>4</v>
      </c>
      <c r="E39">
        <v>4</v>
      </c>
      <c r="F39" s="48">
        <v>1.0000000000009599</v>
      </c>
      <c r="G39" s="48">
        <v>1</v>
      </c>
      <c r="H39" s="72">
        <v>1.0000000000009599</v>
      </c>
      <c r="Q39" s="73"/>
      <c r="R39" s="73"/>
      <c r="AD39" s="73"/>
    </row>
    <row r="40" spans="2:30" x14ac:dyDescent="0.3">
      <c r="B40">
        <v>5</v>
      </c>
      <c r="C40">
        <v>1</v>
      </c>
      <c r="D40">
        <v>1</v>
      </c>
      <c r="E40">
        <v>1</v>
      </c>
      <c r="F40" s="48">
        <v>9.0000325418927503</v>
      </c>
      <c r="G40" s="48">
        <v>9</v>
      </c>
      <c r="H40" s="72">
        <v>1.0000036157658601</v>
      </c>
      <c r="Q40" s="73"/>
      <c r="AD40" s="73"/>
    </row>
    <row r="41" spans="2:30" x14ac:dyDescent="0.3">
      <c r="B41">
        <v>5</v>
      </c>
      <c r="C41">
        <v>2</v>
      </c>
      <c r="D41">
        <v>1</v>
      </c>
      <c r="E41">
        <v>1</v>
      </c>
      <c r="F41" s="48">
        <v>12.2500191559096</v>
      </c>
      <c r="G41" s="48">
        <v>12.25</v>
      </c>
      <c r="H41" s="72">
        <v>1.00000156374772</v>
      </c>
      <c r="Q41" s="73"/>
      <c r="AD41" s="73"/>
    </row>
    <row r="42" spans="2:30" x14ac:dyDescent="0.3">
      <c r="B42">
        <v>5</v>
      </c>
      <c r="C42">
        <v>2</v>
      </c>
      <c r="D42">
        <v>1</v>
      </c>
      <c r="E42">
        <v>2</v>
      </c>
      <c r="F42" s="48">
        <v>5.4444517233409799</v>
      </c>
      <c r="G42" s="48">
        <v>5.4444444444444402</v>
      </c>
      <c r="H42" s="72">
        <v>1.0000013369401799</v>
      </c>
      <c r="Q42" s="73"/>
      <c r="AD42" s="73"/>
    </row>
    <row r="43" spans="2:30" x14ac:dyDescent="0.3">
      <c r="B43">
        <v>5</v>
      </c>
      <c r="C43">
        <v>2</v>
      </c>
      <c r="D43">
        <v>2</v>
      </c>
      <c r="E43">
        <v>2</v>
      </c>
      <c r="F43" s="48">
        <v>3.0625071682110301</v>
      </c>
      <c r="G43" s="48">
        <v>3.0625</v>
      </c>
      <c r="H43" s="72">
        <v>1.00000234064033</v>
      </c>
      <c r="Q43" s="73"/>
      <c r="AD43" s="73"/>
    </row>
    <row r="44" spans="2:30" x14ac:dyDescent="0.3">
      <c r="B44">
        <v>5</v>
      </c>
      <c r="C44">
        <v>3</v>
      </c>
      <c r="D44">
        <v>1</v>
      </c>
      <c r="E44">
        <v>1</v>
      </c>
      <c r="F44" s="48">
        <v>16.000058742622901</v>
      </c>
      <c r="G44" s="48">
        <v>16</v>
      </c>
      <c r="H44" s="72">
        <v>1.00000367141393</v>
      </c>
      <c r="Q44" s="73"/>
      <c r="AD44" s="73"/>
    </row>
    <row r="45" spans="2:30" x14ac:dyDescent="0.3">
      <c r="B45">
        <v>5</v>
      </c>
      <c r="C45">
        <v>3</v>
      </c>
      <c r="D45">
        <v>1</v>
      </c>
      <c r="E45">
        <v>2</v>
      </c>
      <c r="F45" s="48">
        <v>7.1111153009434602</v>
      </c>
      <c r="G45" s="48">
        <v>7.1111111111111098</v>
      </c>
      <c r="H45" s="72">
        <v>1.00000058919517</v>
      </c>
      <c r="Q45" s="73"/>
      <c r="AD45" s="73"/>
    </row>
    <row r="46" spans="2:30" x14ac:dyDescent="0.3">
      <c r="B46">
        <v>5</v>
      </c>
      <c r="C46">
        <v>3</v>
      </c>
      <c r="D46">
        <v>2</v>
      </c>
      <c r="E46">
        <v>2</v>
      </c>
      <c r="F46" s="48">
        <v>4.00001918264718</v>
      </c>
      <c r="G46" s="48">
        <v>4</v>
      </c>
      <c r="H46" s="72">
        <v>1.0000047956617899</v>
      </c>
      <c r="Q46" s="73"/>
      <c r="AD46" s="73"/>
    </row>
    <row r="47" spans="2:30" x14ac:dyDescent="0.3">
      <c r="B47">
        <v>5</v>
      </c>
      <c r="C47">
        <v>3</v>
      </c>
      <c r="D47">
        <v>1</v>
      </c>
      <c r="E47">
        <v>3</v>
      </c>
      <c r="F47" s="48">
        <v>4.0000077027138801</v>
      </c>
      <c r="G47" s="48">
        <v>4</v>
      </c>
      <c r="H47" s="72">
        <v>1.00000192567847</v>
      </c>
      <c r="Q47" s="73"/>
      <c r="AD47" s="73"/>
    </row>
    <row r="48" spans="2:30" x14ac:dyDescent="0.3">
      <c r="B48">
        <v>5</v>
      </c>
      <c r="C48">
        <v>3</v>
      </c>
      <c r="D48">
        <v>2</v>
      </c>
      <c r="E48">
        <v>3</v>
      </c>
      <c r="F48" s="48">
        <v>2.5600099047154301</v>
      </c>
      <c r="G48" s="48">
        <v>2.56</v>
      </c>
      <c r="H48" s="72">
        <v>1.0000038690294599</v>
      </c>
      <c r="Q48" s="73"/>
    </row>
    <row r="49" spans="2:17" x14ac:dyDescent="0.3">
      <c r="B49">
        <v>5</v>
      </c>
      <c r="C49">
        <v>3</v>
      </c>
      <c r="D49">
        <v>3</v>
      </c>
      <c r="E49">
        <v>3</v>
      </c>
      <c r="F49" s="48">
        <v>1.77778018506761</v>
      </c>
      <c r="G49" s="48">
        <v>1.7777777777777699</v>
      </c>
      <c r="H49" s="72">
        <v>1.0000013541005299</v>
      </c>
      <c r="Q49" s="73"/>
    </row>
    <row r="50" spans="2:17" x14ac:dyDescent="0.3">
      <c r="B50">
        <v>5</v>
      </c>
      <c r="C50">
        <v>4</v>
      </c>
      <c r="D50">
        <v>1</v>
      </c>
      <c r="E50">
        <v>1</v>
      </c>
      <c r="F50" s="48">
        <v>20.250068317863199</v>
      </c>
      <c r="G50" s="48">
        <v>20.25</v>
      </c>
      <c r="H50" s="72">
        <v>1.0000033737216301</v>
      </c>
    </row>
    <row r="51" spans="2:17" x14ac:dyDescent="0.3">
      <c r="B51">
        <v>5</v>
      </c>
      <c r="C51">
        <v>4</v>
      </c>
      <c r="D51">
        <v>1</v>
      </c>
      <c r="E51">
        <v>2</v>
      </c>
      <c r="F51" s="48">
        <v>9.0000069744902795</v>
      </c>
      <c r="G51" s="48">
        <v>9</v>
      </c>
      <c r="H51" s="72">
        <v>1.0000007749433599</v>
      </c>
    </row>
    <row r="52" spans="2:17" x14ac:dyDescent="0.3">
      <c r="B52">
        <v>5</v>
      </c>
      <c r="C52">
        <v>4</v>
      </c>
      <c r="D52">
        <v>2</v>
      </c>
      <c r="E52">
        <v>2</v>
      </c>
      <c r="F52" s="48">
        <v>5.0625089891315902</v>
      </c>
      <c r="G52" s="48">
        <v>5.0625</v>
      </c>
      <c r="H52" s="72">
        <v>1.0000017756309301</v>
      </c>
    </row>
    <row r="53" spans="2:17" x14ac:dyDescent="0.3">
      <c r="B53">
        <v>5</v>
      </c>
      <c r="C53">
        <v>4</v>
      </c>
      <c r="D53">
        <v>1</v>
      </c>
      <c r="E53">
        <v>3</v>
      </c>
      <c r="F53" s="48">
        <v>5.0625090029388202</v>
      </c>
      <c r="G53" s="48">
        <v>5.0625</v>
      </c>
      <c r="H53" s="72">
        <v>1.00000177835828</v>
      </c>
    </row>
    <row r="54" spans="2:17" x14ac:dyDescent="0.3">
      <c r="B54">
        <v>5</v>
      </c>
      <c r="C54">
        <v>4</v>
      </c>
      <c r="D54">
        <v>2</v>
      </c>
      <c r="E54">
        <v>3</v>
      </c>
      <c r="F54" s="48">
        <v>3.24000470432243</v>
      </c>
      <c r="G54" s="48">
        <v>3.24</v>
      </c>
      <c r="H54" s="72">
        <v>1.00000145195136</v>
      </c>
    </row>
    <row r="55" spans="2:17" x14ac:dyDescent="0.3">
      <c r="B55">
        <v>5</v>
      </c>
      <c r="C55">
        <v>4</v>
      </c>
      <c r="D55">
        <v>3</v>
      </c>
      <c r="E55">
        <v>3</v>
      </c>
      <c r="F55" s="48">
        <v>2.2500047653026898</v>
      </c>
      <c r="G55" s="48">
        <v>2.25</v>
      </c>
      <c r="H55" s="72">
        <v>1.0000021179123</v>
      </c>
    </row>
    <row r="56" spans="2:17" x14ac:dyDescent="0.3">
      <c r="B56">
        <v>5</v>
      </c>
      <c r="C56">
        <v>4</v>
      </c>
      <c r="D56">
        <v>1</v>
      </c>
      <c r="E56">
        <v>4</v>
      </c>
      <c r="F56" s="48">
        <v>3.2400007888379601</v>
      </c>
      <c r="G56" s="48">
        <v>3.24</v>
      </c>
      <c r="H56" s="72">
        <v>1.0000002434685</v>
      </c>
    </row>
    <row r="57" spans="2:17" x14ac:dyDescent="0.3">
      <c r="B57">
        <v>5</v>
      </c>
      <c r="C57">
        <v>4</v>
      </c>
      <c r="D57">
        <v>2</v>
      </c>
      <c r="E57">
        <v>4</v>
      </c>
      <c r="F57" s="48">
        <v>2.2500045915723801</v>
      </c>
      <c r="G57" s="48">
        <v>2.25</v>
      </c>
      <c r="H57" s="72">
        <v>1.0000020406988299</v>
      </c>
    </row>
    <row r="58" spans="2:17" x14ac:dyDescent="0.3">
      <c r="B58">
        <v>5</v>
      </c>
      <c r="C58">
        <v>4</v>
      </c>
      <c r="D58">
        <v>3</v>
      </c>
      <c r="E58">
        <v>4</v>
      </c>
      <c r="F58" s="48">
        <v>1.65306184435276</v>
      </c>
      <c r="G58" s="48">
        <v>1.65306122448979</v>
      </c>
      <c r="H58" s="72">
        <v>1.00000037497883</v>
      </c>
    </row>
    <row r="59" spans="2:17" x14ac:dyDescent="0.3">
      <c r="B59">
        <v>5</v>
      </c>
      <c r="C59">
        <v>4</v>
      </c>
      <c r="D59">
        <v>4</v>
      </c>
      <c r="E59">
        <v>4</v>
      </c>
      <c r="F59" s="48">
        <v>1.265626815171</v>
      </c>
      <c r="G59" s="48">
        <v>1.265625</v>
      </c>
      <c r="H59" s="72">
        <v>1.0000014342091901</v>
      </c>
    </row>
    <row r="60" spans="2:17" x14ac:dyDescent="0.3">
      <c r="B60">
        <v>5</v>
      </c>
      <c r="C60">
        <v>5</v>
      </c>
      <c r="D60">
        <v>1</v>
      </c>
      <c r="E60">
        <v>1</v>
      </c>
      <c r="F60" s="48">
        <v>25.000000000006999</v>
      </c>
      <c r="G60" s="48">
        <v>25</v>
      </c>
      <c r="H60" s="72">
        <v>1.00000000000028</v>
      </c>
    </row>
    <row r="61" spans="2:17" x14ac:dyDescent="0.3">
      <c r="B61">
        <v>5</v>
      </c>
      <c r="C61">
        <v>5</v>
      </c>
      <c r="D61">
        <v>1</v>
      </c>
      <c r="E61">
        <v>2</v>
      </c>
      <c r="F61" s="48">
        <v>11.111151045672701</v>
      </c>
      <c r="G61" s="48">
        <v>11.1111111111111</v>
      </c>
      <c r="H61" s="72">
        <v>1.0000035941105401</v>
      </c>
    </row>
    <row r="62" spans="2:17" x14ac:dyDescent="0.3">
      <c r="B62">
        <v>5</v>
      </c>
      <c r="C62">
        <v>5</v>
      </c>
      <c r="D62">
        <v>2</v>
      </c>
      <c r="E62">
        <v>2</v>
      </c>
      <c r="F62" s="48">
        <v>6.2500000000023697</v>
      </c>
      <c r="G62" s="48">
        <v>6.25</v>
      </c>
      <c r="H62" s="72">
        <v>1.0000000000003799</v>
      </c>
    </row>
    <row r="63" spans="2:17" x14ac:dyDescent="0.3">
      <c r="B63">
        <v>5</v>
      </c>
      <c r="C63">
        <v>5</v>
      </c>
      <c r="D63">
        <v>1</v>
      </c>
      <c r="E63">
        <v>3</v>
      </c>
      <c r="F63" s="48">
        <v>6.2500208876497503</v>
      </c>
      <c r="G63" s="48">
        <v>6.25</v>
      </c>
      <c r="H63" s="72">
        <v>1.00000334202396</v>
      </c>
    </row>
    <row r="64" spans="2:17" x14ac:dyDescent="0.3">
      <c r="B64">
        <v>5</v>
      </c>
      <c r="C64">
        <v>5</v>
      </c>
      <c r="D64">
        <v>2</v>
      </c>
      <c r="E64">
        <v>3</v>
      </c>
      <c r="F64" s="48">
        <v>4.0000047705467496</v>
      </c>
      <c r="G64" s="48">
        <v>4</v>
      </c>
      <c r="H64" s="72">
        <v>1.0000011926366801</v>
      </c>
    </row>
    <row r="65" spans="2:8" x14ac:dyDescent="0.3">
      <c r="B65">
        <v>5</v>
      </c>
      <c r="C65">
        <v>5</v>
      </c>
      <c r="D65">
        <v>3</v>
      </c>
      <c r="E65">
        <v>3</v>
      </c>
      <c r="F65" s="48">
        <v>2.7777777777950399</v>
      </c>
      <c r="G65" s="48">
        <v>2.7777777777777701</v>
      </c>
      <c r="H65" s="72">
        <v>1.0000000000062099</v>
      </c>
    </row>
    <row r="66" spans="2:8" x14ac:dyDescent="0.3">
      <c r="B66">
        <v>5</v>
      </c>
      <c r="C66">
        <v>5</v>
      </c>
      <c r="D66">
        <v>1</v>
      </c>
      <c r="E66">
        <v>4</v>
      </c>
      <c r="F66" s="48">
        <v>4.0000112828657599</v>
      </c>
      <c r="G66" s="48">
        <v>4</v>
      </c>
      <c r="H66" s="72">
        <v>1.00000282071644</v>
      </c>
    </row>
    <row r="67" spans="2:8" x14ac:dyDescent="0.3">
      <c r="B67">
        <v>5</v>
      </c>
      <c r="C67">
        <v>5</v>
      </c>
      <c r="D67">
        <v>2</v>
      </c>
      <c r="E67">
        <v>4</v>
      </c>
      <c r="F67" s="48">
        <v>2.7777783318145302</v>
      </c>
      <c r="G67" s="48">
        <v>2.7777777777777701</v>
      </c>
      <c r="H67" s="72">
        <v>1.0000001994532299</v>
      </c>
    </row>
    <row r="68" spans="2:8" x14ac:dyDescent="0.3">
      <c r="B68">
        <v>5</v>
      </c>
      <c r="C68">
        <v>5</v>
      </c>
      <c r="D68">
        <v>3</v>
      </c>
      <c r="E68">
        <v>4</v>
      </c>
      <c r="F68" s="48">
        <v>2.0408181284140299</v>
      </c>
      <c r="G68" s="48">
        <v>2.0408163265306101</v>
      </c>
      <c r="H68" s="72">
        <v>1.0000008829228699</v>
      </c>
    </row>
    <row r="69" spans="2:8" x14ac:dyDescent="0.3">
      <c r="B69">
        <v>5</v>
      </c>
      <c r="C69">
        <v>5</v>
      </c>
      <c r="D69">
        <v>4</v>
      </c>
      <c r="E69">
        <v>4</v>
      </c>
      <c r="F69" s="48">
        <v>1.56250000000078</v>
      </c>
      <c r="G69" s="48">
        <v>1.5625</v>
      </c>
      <c r="H69" s="72">
        <v>1.0000000000005</v>
      </c>
    </row>
    <row r="70" spans="2:8" x14ac:dyDescent="0.3">
      <c r="B70">
        <v>5</v>
      </c>
      <c r="C70">
        <v>5</v>
      </c>
      <c r="D70">
        <v>1</v>
      </c>
      <c r="E70">
        <v>5</v>
      </c>
      <c r="F70" s="48">
        <v>2.7777835100909001</v>
      </c>
      <c r="G70" s="48">
        <v>2.7777777777777701</v>
      </c>
      <c r="H70" s="72">
        <v>1.00000206363272</v>
      </c>
    </row>
    <row r="71" spans="2:8" x14ac:dyDescent="0.3">
      <c r="B71">
        <v>5</v>
      </c>
      <c r="C71">
        <v>5</v>
      </c>
      <c r="D71">
        <v>2</v>
      </c>
      <c r="E71">
        <v>5</v>
      </c>
      <c r="F71" s="48">
        <v>2.04082596831263</v>
      </c>
      <c r="G71" s="48">
        <v>2.0408163265306101</v>
      </c>
      <c r="H71" s="72">
        <v>1.00000472447319</v>
      </c>
    </row>
    <row r="72" spans="2:8" x14ac:dyDescent="0.3">
      <c r="B72">
        <v>5</v>
      </c>
      <c r="C72">
        <v>5</v>
      </c>
      <c r="D72">
        <v>3</v>
      </c>
      <c r="E72">
        <v>5</v>
      </c>
      <c r="F72" s="48">
        <v>1.5625039121908</v>
      </c>
      <c r="G72" s="48">
        <v>1.5625</v>
      </c>
      <c r="H72" s="72">
        <v>1.0000025038021101</v>
      </c>
    </row>
    <row r="73" spans="2:8" x14ac:dyDescent="0.3">
      <c r="B73">
        <v>5</v>
      </c>
      <c r="C73">
        <v>5</v>
      </c>
      <c r="D73">
        <v>4</v>
      </c>
      <c r="E73">
        <v>5</v>
      </c>
      <c r="F73" s="48">
        <v>1.2345711540108899</v>
      </c>
      <c r="G73" s="48">
        <v>1.2345679012345601</v>
      </c>
      <c r="H73" s="72">
        <v>1.00000263474882</v>
      </c>
    </row>
    <row r="74" spans="2:8" x14ac:dyDescent="0.3">
      <c r="B74">
        <v>5</v>
      </c>
      <c r="C74">
        <v>5</v>
      </c>
      <c r="D74">
        <v>5</v>
      </c>
      <c r="E74">
        <v>5</v>
      </c>
      <c r="F74" s="48">
        <v>1</v>
      </c>
      <c r="G74" s="48">
        <v>1</v>
      </c>
      <c r="H74" s="72">
        <v>1</v>
      </c>
    </row>
    <row r="75" spans="2:8" x14ac:dyDescent="0.3">
      <c r="B75">
        <v>6</v>
      </c>
      <c r="C75">
        <v>1</v>
      </c>
      <c r="D75">
        <v>1</v>
      </c>
      <c r="E75">
        <v>1</v>
      </c>
      <c r="F75" s="48">
        <v>12.250017069406899</v>
      </c>
      <c r="G75" s="48">
        <v>12.25</v>
      </c>
      <c r="H75" s="72">
        <v>1.0000013934209699</v>
      </c>
    </row>
    <row r="76" spans="2:8" x14ac:dyDescent="0.3">
      <c r="B76">
        <v>6</v>
      </c>
      <c r="C76">
        <v>2</v>
      </c>
      <c r="D76">
        <v>1</v>
      </c>
      <c r="E76">
        <v>1</v>
      </c>
      <c r="F76" s="48">
        <v>16.000074386092201</v>
      </c>
      <c r="G76" s="48">
        <v>16</v>
      </c>
      <c r="H76" s="72">
        <v>1.0000046491307599</v>
      </c>
    </row>
    <row r="77" spans="2:8" x14ac:dyDescent="0.3">
      <c r="B77">
        <v>6</v>
      </c>
      <c r="C77">
        <v>2</v>
      </c>
      <c r="D77">
        <v>1</v>
      </c>
      <c r="E77">
        <v>2</v>
      </c>
      <c r="F77" s="48">
        <v>7.1111422405353899</v>
      </c>
      <c r="G77" s="48">
        <v>7.1111111111111098</v>
      </c>
      <c r="H77" s="72">
        <v>1.00000437757529</v>
      </c>
    </row>
    <row r="78" spans="2:8" x14ac:dyDescent="0.3">
      <c r="B78">
        <v>6</v>
      </c>
      <c r="C78">
        <v>2</v>
      </c>
      <c r="D78">
        <v>2</v>
      </c>
      <c r="E78">
        <v>2</v>
      </c>
      <c r="F78" s="48">
        <v>4.0000108584380296</v>
      </c>
      <c r="G78" s="48">
        <v>4</v>
      </c>
      <c r="H78" s="72">
        <v>1.0000027146095001</v>
      </c>
    </row>
    <row r="79" spans="2:8" x14ac:dyDescent="0.3">
      <c r="B79">
        <v>6</v>
      </c>
      <c r="C79">
        <v>3</v>
      </c>
      <c r="D79">
        <v>1</v>
      </c>
      <c r="E79">
        <v>1</v>
      </c>
      <c r="F79" s="48">
        <v>20.250030450799599</v>
      </c>
      <c r="G79" s="48">
        <v>20.25</v>
      </c>
      <c r="H79" s="72">
        <v>1.00000150374319</v>
      </c>
    </row>
    <row r="80" spans="2:8" x14ac:dyDescent="0.3">
      <c r="B80">
        <v>6</v>
      </c>
      <c r="C80">
        <v>3</v>
      </c>
      <c r="D80">
        <v>1</v>
      </c>
      <c r="E80">
        <v>2</v>
      </c>
      <c r="F80" s="48">
        <v>9.00001404553222</v>
      </c>
      <c r="G80" s="48">
        <v>9</v>
      </c>
      <c r="H80" s="72">
        <v>1.0000015606146899</v>
      </c>
    </row>
    <row r="81" spans="2:8" x14ac:dyDescent="0.3">
      <c r="B81">
        <v>6</v>
      </c>
      <c r="C81">
        <v>3</v>
      </c>
      <c r="D81">
        <v>2</v>
      </c>
      <c r="E81">
        <v>2</v>
      </c>
      <c r="F81" s="48">
        <v>5.0625049904020401</v>
      </c>
      <c r="G81" s="48">
        <v>5.0625</v>
      </c>
      <c r="H81" s="72">
        <v>1.00000098575842</v>
      </c>
    </row>
    <row r="82" spans="2:8" x14ac:dyDescent="0.3">
      <c r="B82">
        <v>6</v>
      </c>
      <c r="C82">
        <v>3</v>
      </c>
      <c r="D82">
        <v>1</v>
      </c>
      <c r="E82">
        <v>3</v>
      </c>
      <c r="F82" s="48">
        <v>5.0625261526767904</v>
      </c>
      <c r="G82" s="48">
        <v>5.0625</v>
      </c>
      <c r="H82" s="72">
        <v>1.00000516596084</v>
      </c>
    </row>
    <row r="83" spans="2:8" x14ac:dyDescent="0.3">
      <c r="B83">
        <v>6</v>
      </c>
      <c r="C83">
        <v>3</v>
      </c>
      <c r="D83">
        <v>2</v>
      </c>
      <c r="E83">
        <v>3</v>
      </c>
      <c r="F83" s="48">
        <v>3.2400141082613199</v>
      </c>
      <c r="G83" s="48">
        <v>3.24</v>
      </c>
      <c r="H83" s="72">
        <v>1.0000043544016399</v>
      </c>
    </row>
    <row r="84" spans="2:8" x14ac:dyDescent="0.3">
      <c r="B84">
        <v>6</v>
      </c>
      <c r="C84">
        <v>3</v>
      </c>
      <c r="D84">
        <v>3</v>
      </c>
      <c r="E84">
        <v>3</v>
      </c>
      <c r="F84" s="48">
        <v>2.2500121668845399</v>
      </c>
      <c r="G84" s="48">
        <v>2.25</v>
      </c>
      <c r="H84" s="72">
        <v>1.0000054075042399</v>
      </c>
    </row>
    <row r="85" spans="2:8" x14ac:dyDescent="0.3">
      <c r="B85">
        <v>6</v>
      </c>
      <c r="C85">
        <v>4</v>
      </c>
      <c r="D85">
        <v>1</v>
      </c>
      <c r="E85">
        <v>1</v>
      </c>
      <c r="F85" s="48">
        <v>25.000107454527299</v>
      </c>
      <c r="G85" s="48">
        <v>25</v>
      </c>
      <c r="H85" s="72">
        <v>1.0000042981810899</v>
      </c>
    </row>
    <row r="86" spans="2:8" x14ac:dyDescent="0.3">
      <c r="B86">
        <v>6</v>
      </c>
      <c r="C86">
        <v>4</v>
      </c>
      <c r="D86">
        <v>1</v>
      </c>
      <c r="E86">
        <v>2</v>
      </c>
      <c r="F86" s="48">
        <v>11.111124257673</v>
      </c>
      <c r="G86" s="48">
        <v>11.1111111111111</v>
      </c>
      <c r="H86" s="72">
        <v>1.00000118319057</v>
      </c>
    </row>
    <row r="87" spans="2:8" x14ac:dyDescent="0.3">
      <c r="B87">
        <v>6</v>
      </c>
      <c r="C87">
        <v>4</v>
      </c>
      <c r="D87">
        <v>2</v>
      </c>
      <c r="E87">
        <v>2</v>
      </c>
      <c r="F87" s="48">
        <v>6.2500171436653797</v>
      </c>
      <c r="G87" s="48">
        <v>6.25</v>
      </c>
      <c r="H87" s="72">
        <v>1.00000274298646</v>
      </c>
    </row>
    <row r="88" spans="2:8" x14ac:dyDescent="0.3">
      <c r="B88">
        <v>6</v>
      </c>
      <c r="C88">
        <v>4</v>
      </c>
      <c r="D88">
        <v>1</v>
      </c>
      <c r="E88">
        <v>3</v>
      </c>
      <c r="F88" s="48">
        <v>6.2500025126505898</v>
      </c>
      <c r="G88" s="48">
        <v>6.25</v>
      </c>
      <c r="H88" s="72">
        <v>1.00000040202409</v>
      </c>
    </row>
    <row r="89" spans="2:8" x14ac:dyDescent="0.3">
      <c r="B89">
        <v>6</v>
      </c>
      <c r="C89">
        <v>4</v>
      </c>
      <c r="D89">
        <v>2</v>
      </c>
      <c r="E89">
        <v>3</v>
      </c>
      <c r="F89" s="48">
        <v>4.0000115526844402</v>
      </c>
      <c r="G89" s="48">
        <v>4</v>
      </c>
      <c r="H89" s="72">
        <v>1.00000288817111</v>
      </c>
    </row>
    <row r="90" spans="2:8" x14ac:dyDescent="0.3">
      <c r="B90">
        <v>6</v>
      </c>
      <c r="C90">
        <v>4</v>
      </c>
      <c r="D90">
        <v>3</v>
      </c>
      <c r="E90">
        <v>3</v>
      </c>
      <c r="F90" s="48">
        <v>2.7777836430636702</v>
      </c>
      <c r="G90" s="48">
        <v>2.7777777777777701</v>
      </c>
      <c r="H90" s="72">
        <v>1.0000021115029201</v>
      </c>
    </row>
    <row r="91" spans="2:8" x14ac:dyDescent="0.3">
      <c r="B91">
        <v>6</v>
      </c>
      <c r="C91">
        <v>4</v>
      </c>
      <c r="D91">
        <v>1</v>
      </c>
      <c r="E91">
        <v>4</v>
      </c>
      <c r="F91" s="48">
        <v>4.0000131701298898</v>
      </c>
      <c r="G91" s="48">
        <v>4</v>
      </c>
      <c r="H91" s="72">
        <v>1.00000329253247</v>
      </c>
    </row>
    <row r="92" spans="2:8" x14ac:dyDescent="0.3">
      <c r="B92">
        <v>6</v>
      </c>
      <c r="C92">
        <v>4</v>
      </c>
      <c r="D92">
        <v>2</v>
      </c>
      <c r="E92">
        <v>4</v>
      </c>
      <c r="F92" s="48">
        <v>2.7777791160759602</v>
      </c>
      <c r="G92" s="48">
        <v>2.7777777777777701</v>
      </c>
      <c r="H92" s="72">
        <v>1.00000048178734</v>
      </c>
    </row>
    <row r="93" spans="2:8" x14ac:dyDescent="0.3">
      <c r="B93">
        <v>6</v>
      </c>
      <c r="C93">
        <v>4</v>
      </c>
      <c r="D93">
        <v>3</v>
      </c>
      <c r="E93">
        <v>4</v>
      </c>
      <c r="F93" s="48">
        <v>2.04082733922148</v>
      </c>
      <c r="G93" s="48">
        <v>2.0408163265306101</v>
      </c>
      <c r="H93" s="72">
        <v>1.00000539621852</v>
      </c>
    </row>
    <row r="94" spans="2:8" x14ac:dyDescent="0.3">
      <c r="B94">
        <v>6</v>
      </c>
      <c r="C94">
        <v>4</v>
      </c>
      <c r="D94">
        <v>4</v>
      </c>
      <c r="E94">
        <v>4</v>
      </c>
      <c r="F94" s="48">
        <v>1.5625052324820701</v>
      </c>
      <c r="G94" s="48">
        <v>1.5625</v>
      </c>
      <c r="H94" s="72">
        <v>1.00000334878852</v>
      </c>
    </row>
    <row r="95" spans="2:8" x14ac:dyDescent="0.3">
      <c r="B95">
        <v>6</v>
      </c>
      <c r="C95">
        <v>5</v>
      </c>
      <c r="D95">
        <v>1</v>
      </c>
      <c r="E95">
        <v>1</v>
      </c>
      <c r="F95" s="48">
        <v>30.250039393561799</v>
      </c>
      <c r="G95" s="48">
        <v>30.25</v>
      </c>
      <c r="H95" s="72">
        <v>1.0000013022665</v>
      </c>
    </row>
    <row r="96" spans="2:8" x14ac:dyDescent="0.3">
      <c r="B96">
        <v>6</v>
      </c>
      <c r="C96">
        <v>5</v>
      </c>
      <c r="D96">
        <v>1</v>
      </c>
      <c r="E96">
        <v>2</v>
      </c>
      <c r="F96" s="48">
        <v>13.4444607017253</v>
      </c>
      <c r="G96" s="48">
        <v>13.4444444444444</v>
      </c>
      <c r="H96" s="72">
        <v>1.0000012092192301</v>
      </c>
    </row>
    <row r="97" spans="2:8" x14ac:dyDescent="0.3">
      <c r="B97">
        <v>6</v>
      </c>
      <c r="C97">
        <v>5</v>
      </c>
      <c r="D97">
        <v>2</v>
      </c>
      <c r="E97">
        <v>2</v>
      </c>
      <c r="F97" s="48">
        <v>7.5625082526087102</v>
      </c>
      <c r="G97" s="48">
        <v>7.5625</v>
      </c>
      <c r="H97" s="72">
        <v>1.00000109125404</v>
      </c>
    </row>
    <row r="98" spans="2:8" x14ac:dyDescent="0.3">
      <c r="B98">
        <v>6</v>
      </c>
      <c r="C98">
        <v>5</v>
      </c>
      <c r="D98">
        <v>1</v>
      </c>
      <c r="E98">
        <v>3</v>
      </c>
      <c r="F98" s="48">
        <v>7.5625082762732001</v>
      </c>
      <c r="G98" s="48">
        <v>7.5625</v>
      </c>
      <c r="H98" s="72">
        <v>1.00000109438323</v>
      </c>
    </row>
    <row r="99" spans="2:8" x14ac:dyDescent="0.3">
      <c r="B99">
        <v>6</v>
      </c>
      <c r="C99">
        <v>5</v>
      </c>
      <c r="D99">
        <v>2</v>
      </c>
      <c r="E99">
        <v>3</v>
      </c>
      <c r="F99" s="48">
        <v>4.8400125542158099</v>
      </c>
      <c r="G99" s="48">
        <v>4.84</v>
      </c>
      <c r="H99" s="72">
        <v>1.00000259384624</v>
      </c>
    </row>
    <row r="100" spans="2:8" x14ac:dyDescent="0.3">
      <c r="B100">
        <v>6</v>
      </c>
      <c r="C100">
        <v>5</v>
      </c>
      <c r="D100">
        <v>3</v>
      </c>
      <c r="E100">
        <v>3</v>
      </c>
      <c r="F100" s="48">
        <v>3.36111400195181</v>
      </c>
      <c r="G100" s="48">
        <v>3.3611111111111098</v>
      </c>
      <c r="H100" s="72">
        <v>1.00000086008483</v>
      </c>
    </row>
    <row r="101" spans="2:8" x14ac:dyDescent="0.3">
      <c r="B101">
        <v>6</v>
      </c>
      <c r="C101">
        <v>5</v>
      </c>
      <c r="D101">
        <v>1</v>
      </c>
      <c r="E101">
        <v>4</v>
      </c>
      <c r="F101" s="48">
        <v>4.8400013267641704</v>
      </c>
      <c r="G101" s="48">
        <v>4.84</v>
      </c>
      <c r="H101" s="72">
        <v>1.0000002741248299</v>
      </c>
    </row>
    <row r="102" spans="2:8" x14ac:dyDescent="0.3">
      <c r="B102">
        <v>6</v>
      </c>
      <c r="C102">
        <v>5</v>
      </c>
      <c r="D102">
        <v>2</v>
      </c>
      <c r="E102">
        <v>4</v>
      </c>
      <c r="F102" s="48">
        <v>3.3611132160278099</v>
      </c>
      <c r="G102" s="48">
        <v>3.3611111111111098</v>
      </c>
      <c r="H102" s="72">
        <v>1.0000006262562</v>
      </c>
    </row>
    <row r="103" spans="2:8" x14ac:dyDescent="0.3">
      <c r="B103">
        <v>6</v>
      </c>
      <c r="C103">
        <v>5</v>
      </c>
      <c r="D103">
        <v>3</v>
      </c>
      <c r="E103">
        <v>4</v>
      </c>
      <c r="F103" s="48">
        <v>2.4693936761153301</v>
      </c>
      <c r="G103" s="48">
        <v>2.4693877551020398</v>
      </c>
      <c r="H103" s="72">
        <v>1.00000239776571</v>
      </c>
    </row>
    <row r="104" spans="2:8" x14ac:dyDescent="0.3">
      <c r="B104">
        <v>6</v>
      </c>
      <c r="C104">
        <v>5</v>
      </c>
      <c r="D104">
        <v>4</v>
      </c>
      <c r="E104">
        <v>4</v>
      </c>
      <c r="F104" s="48">
        <v>1.8906256612833401</v>
      </c>
      <c r="G104" s="48">
        <v>1.890625</v>
      </c>
      <c r="H104" s="72">
        <v>1.0000003497697001</v>
      </c>
    </row>
    <row r="105" spans="2:8" x14ac:dyDescent="0.3">
      <c r="B105">
        <v>6</v>
      </c>
      <c r="C105">
        <v>5</v>
      </c>
      <c r="D105">
        <v>1</v>
      </c>
      <c r="E105">
        <v>5</v>
      </c>
      <c r="F105" s="48">
        <v>3.36111716033151</v>
      </c>
      <c r="G105" s="48">
        <v>3.3611111111111098</v>
      </c>
      <c r="H105" s="72">
        <v>1.0000017997680499</v>
      </c>
    </row>
    <row r="106" spans="2:8" x14ac:dyDescent="0.3">
      <c r="B106">
        <v>6</v>
      </c>
      <c r="C106">
        <v>5</v>
      </c>
      <c r="D106">
        <v>2</v>
      </c>
      <c r="E106">
        <v>5</v>
      </c>
      <c r="F106" s="48">
        <v>2.46939953019527</v>
      </c>
      <c r="G106" s="48">
        <v>2.4693877551020398</v>
      </c>
      <c r="H106" s="72">
        <v>1.0000047684261799</v>
      </c>
    </row>
    <row r="107" spans="2:8" x14ac:dyDescent="0.3">
      <c r="B107">
        <v>6</v>
      </c>
      <c r="C107">
        <v>5</v>
      </c>
      <c r="D107">
        <v>3</v>
      </c>
      <c r="E107">
        <v>5</v>
      </c>
      <c r="F107" s="48">
        <v>1.89062818862145</v>
      </c>
      <c r="G107" s="48">
        <v>1.890625</v>
      </c>
      <c r="H107" s="72">
        <v>1.0000016865435699</v>
      </c>
    </row>
    <row r="108" spans="2:8" x14ac:dyDescent="0.3">
      <c r="B108">
        <v>6</v>
      </c>
      <c r="C108">
        <v>5</v>
      </c>
      <c r="D108">
        <v>4</v>
      </c>
      <c r="E108">
        <v>5</v>
      </c>
      <c r="F108" s="48">
        <v>1.4938337877996899</v>
      </c>
      <c r="G108" s="48">
        <v>1.49382716049382</v>
      </c>
      <c r="H108" s="72">
        <v>1.0000044364609499</v>
      </c>
    </row>
    <row r="109" spans="2:8" x14ac:dyDescent="0.3">
      <c r="B109">
        <v>6</v>
      </c>
      <c r="C109">
        <v>5</v>
      </c>
      <c r="D109">
        <v>5</v>
      </c>
      <c r="E109">
        <v>5</v>
      </c>
      <c r="F109" s="48">
        <v>1.2100008683466601</v>
      </c>
      <c r="G109" s="48">
        <v>1.21</v>
      </c>
      <c r="H109" s="72">
        <v>1.0000007176418599</v>
      </c>
    </row>
    <row r="110" spans="2:8" x14ac:dyDescent="0.3">
      <c r="B110">
        <v>6</v>
      </c>
      <c r="C110">
        <v>6</v>
      </c>
      <c r="D110">
        <v>1</v>
      </c>
      <c r="E110">
        <v>1</v>
      </c>
      <c r="F110" s="48">
        <v>36.000000000001997</v>
      </c>
      <c r="G110" s="48">
        <v>36</v>
      </c>
      <c r="H110" s="72">
        <v>1.00000000000005</v>
      </c>
    </row>
    <row r="111" spans="2:8" x14ac:dyDescent="0.3">
      <c r="B111">
        <v>6</v>
      </c>
      <c r="C111">
        <v>6</v>
      </c>
      <c r="D111">
        <v>1</v>
      </c>
      <c r="E111">
        <v>2</v>
      </c>
      <c r="F111" s="48">
        <v>16.000031071896402</v>
      </c>
      <c r="G111" s="48">
        <v>16</v>
      </c>
      <c r="H111" s="72">
        <v>1.00000194199353</v>
      </c>
    </row>
    <row r="112" spans="2:8" x14ac:dyDescent="0.3">
      <c r="B112">
        <v>6</v>
      </c>
      <c r="C112">
        <v>6</v>
      </c>
      <c r="D112">
        <v>2</v>
      </c>
      <c r="E112">
        <v>2</v>
      </c>
      <c r="F112" s="48">
        <v>9.0000000000009805</v>
      </c>
      <c r="G112" s="48">
        <v>9</v>
      </c>
      <c r="H112" s="72">
        <v>1.0000000000000999</v>
      </c>
    </row>
    <row r="113" spans="2:8" x14ac:dyDescent="0.3">
      <c r="B113">
        <v>6</v>
      </c>
      <c r="C113">
        <v>6</v>
      </c>
      <c r="D113">
        <v>1</v>
      </c>
      <c r="E113">
        <v>3</v>
      </c>
      <c r="F113" s="48">
        <v>9.0000367964113508</v>
      </c>
      <c r="G113" s="48">
        <v>9</v>
      </c>
      <c r="H113" s="72">
        <v>1.00000408849015</v>
      </c>
    </row>
    <row r="114" spans="2:8" x14ac:dyDescent="0.3">
      <c r="B114">
        <v>6</v>
      </c>
      <c r="C114">
        <v>6</v>
      </c>
      <c r="D114">
        <v>2</v>
      </c>
      <c r="E114">
        <v>3</v>
      </c>
      <c r="F114" s="48">
        <v>5.7600025719646402</v>
      </c>
      <c r="G114" s="48">
        <v>5.76</v>
      </c>
      <c r="H114" s="72">
        <v>1.0000004465216299</v>
      </c>
    </row>
    <row r="115" spans="2:8" x14ac:dyDescent="0.3">
      <c r="B115">
        <v>6</v>
      </c>
      <c r="C115">
        <v>6</v>
      </c>
      <c r="D115">
        <v>3</v>
      </c>
      <c r="E115">
        <v>3</v>
      </c>
      <c r="F115" s="48">
        <v>4.00000000090896</v>
      </c>
      <c r="G115" s="48">
        <v>4</v>
      </c>
      <c r="H115" s="72">
        <v>1.00000000022724</v>
      </c>
    </row>
    <row r="116" spans="2:8" x14ac:dyDescent="0.3">
      <c r="B116">
        <v>6</v>
      </c>
      <c r="C116">
        <v>6</v>
      </c>
      <c r="D116">
        <v>1</v>
      </c>
      <c r="E116">
        <v>4</v>
      </c>
      <c r="F116" s="48">
        <v>5.7600041543564098</v>
      </c>
      <c r="G116" s="48">
        <v>5.76</v>
      </c>
      <c r="H116" s="72">
        <v>1.00000072124243</v>
      </c>
    </row>
    <row r="117" spans="2:8" x14ac:dyDescent="0.3">
      <c r="B117">
        <v>6</v>
      </c>
      <c r="C117">
        <v>6</v>
      </c>
      <c r="D117">
        <v>2</v>
      </c>
      <c r="E117">
        <v>4</v>
      </c>
      <c r="F117" s="48">
        <v>4.0000017665363199</v>
      </c>
      <c r="G117" s="48">
        <v>4</v>
      </c>
      <c r="H117" s="72">
        <v>1.00000044163408</v>
      </c>
    </row>
    <row r="118" spans="2:8" x14ac:dyDescent="0.3">
      <c r="B118">
        <v>6</v>
      </c>
      <c r="C118">
        <v>6</v>
      </c>
      <c r="D118">
        <v>3</v>
      </c>
      <c r="E118">
        <v>4</v>
      </c>
      <c r="F118" s="48">
        <v>2.9387790331856101</v>
      </c>
      <c r="G118" s="48">
        <v>2.93877551020408</v>
      </c>
      <c r="H118" s="72">
        <v>1.0000011987923201</v>
      </c>
    </row>
    <row r="119" spans="2:8" x14ac:dyDescent="0.3">
      <c r="B119">
        <v>6</v>
      </c>
      <c r="C119">
        <v>6</v>
      </c>
      <c r="D119">
        <v>4</v>
      </c>
      <c r="E119">
        <v>4</v>
      </c>
      <c r="F119" s="48">
        <v>2.2500000000000999</v>
      </c>
      <c r="G119" s="48">
        <v>2.25</v>
      </c>
      <c r="H119" s="72">
        <v>1.00000000000004</v>
      </c>
    </row>
    <row r="120" spans="2:8" x14ac:dyDescent="0.3">
      <c r="B120">
        <v>6</v>
      </c>
      <c r="C120">
        <v>6</v>
      </c>
      <c r="D120">
        <v>1</v>
      </c>
      <c r="E120">
        <v>5</v>
      </c>
      <c r="F120" s="48">
        <v>4.0000029659754297</v>
      </c>
      <c r="G120" s="48">
        <v>4</v>
      </c>
      <c r="H120" s="72">
        <v>1.0000007414938501</v>
      </c>
    </row>
    <row r="121" spans="2:8" x14ac:dyDescent="0.3">
      <c r="B121">
        <v>6</v>
      </c>
      <c r="C121">
        <v>6</v>
      </c>
      <c r="D121">
        <v>2</v>
      </c>
      <c r="E121">
        <v>5</v>
      </c>
      <c r="F121" s="48">
        <v>2.9387882282850399</v>
      </c>
      <c r="G121" s="48">
        <v>2.93877551020408</v>
      </c>
      <c r="H121" s="72">
        <v>1.0000043276803201</v>
      </c>
    </row>
    <row r="122" spans="2:8" x14ac:dyDescent="0.3">
      <c r="B122">
        <v>6</v>
      </c>
      <c r="C122">
        <v>6</v>
      </c>
      <c r="D122">
        <v>3</v>
      </c>
      <c r="E122">
        <v>5</v>
      </c>
      <c r="F122" s="48">
        <v>2.2500085502601501</v>
      </c>
      <c r="G122" s="48">
        <v>2.25</v>
      </c>
      <c r="H122" s="72">
        <v>1.00000380011562</v>
      </c>
    </row>
    <row r="123" spans="2:8" x14ac:dyDescent="0.3">
      <c r="B123">
        <v>6</v>
      </c>
      <c r="C123">
        <v>6</v>
      </c>
      <c r="D123">
        <v>4</v>
      </c>
      <c r="E123">
        <v>5</v>
      </c>
      <c r="F123" s="48">
        <v>1.77778581762677</v>
      </c>
      <c r="G123" s="48">
        <v>1.7777777777777699</v>
      </c>
      <c r="H123" s="72">
        <v>1.00000452241506</v>
      </c>
    </row>
    <row r="124" spans="2:8" x14ac:dyDescent="0.3">
      <c r="B124">
        <v>6</v>
      </c>
      <c r="C124">
        <v>6</v>
      </c>
      <c r="D124">
        <v>5</v>
      </c>
      <c r="E124">
        <v>5</v>
      </c>
      <c r="F124" s="48">
        <v>1.4400000000000299</v>
      </c>
      <c r="G124" s="48">
        <v>1.44</v>
      </c>
      <c r="H124" s="72">
        <v>1.00000000000002</v>
      </c>
    </row>
    <row r="125" spans="2:8" x14ac:dyDescent="0.3">
      <c r="B125">
        <v>6</v>
      </c>
      <c r="C125">
        <v>6</v>
      </c>
      <c r="D125">
        <v>1</v>
      </c>
      <c r="E125">
        <v>6</v>
      </c>
      <c r="F125" s="48">
        <v>2.9387796288661101</v>
      </c>
      <c r="G125" s="48">
        <v>2.93877551020408</v>
      </c>
      <c r="H125" s="72">
        <v>1.0000014014891601</v>
      </c>
    </row>
    <row r="126" spans="2:8" x14ac:dyDescent="0.3">
      <c r="B126">
        <v>6</v>
      </c>
      <c r="C126">
        <v>6</v>
      </c>
      <c r="D126">
        <v>2</v>
      </c>
      <c r="E126">
        <v>6</v>
      </c>
      <c r="F126" s="48">
        <v>2.2500110508434199</v>
      </c>
      <c r="G126" s="48">
        <v>2.25</v>
      </c>
      <c r="H126" s="72">
        <v>1.0000049114859599</v>
      </c>
    </row>
    <row r="127" spans="2:8" x14ac:dyDescent="0.3">
      <c r="B127">
        <v>6</v>
      </c>
      <c r="C127">
        <v>6</v>
      </c>
      <c r="D127">
        <v>3</v>
      </c>
      <c r="E127">
        <v>6</v>
      </c>
      <c r="F127" s="48">
        <v>1.77778360083878</v>
      </c>
      <c r="G127" s="48">
        <v>1.7777777777777699</v>
      </c>
      <c r="H127" s="72">
        <v>1.00000327547181</v>
      </c>
    </row>
    <row r="128" spans="2:8" x14ac:dyDescent="0.3">
      <c r="B128">
        <v>6</v>
      </c>
      <c r="C128">
        <v>6</v>
      </c>
      <c r="D128">
        <v>4</v>
      </c>
      <c r="E128">
        <v>6</v>
      </c>
      <c r="F128" s="48">
        <v>1.4400026611649299</v>
      </c>
      <c r="G128" s="48">
        <v>1.44</v>
      </c>
      <c r="H128" s="72">
        <v>1.0000018480312001</v>
      </c>
    </row>
    <row r="129" spans="2:8" x14ac:dyDescent="0.3">
      <c r="B129">
        <v>6</v>
      </c>
      <c r="C129">
        <v>6</v>
      </c>
      <c r="D129">
        <v>5</v>
      </c>
      <c r="E129">
        <v>6</v>
      </c>
      <c r="F129" s="48">
        <v>1.1900879370566499</v>
      </c>
      <c r="G129" s="48">
        <v>1.1900826446280901</v>
      </c>
      <c r="H129" s="72">
        <v>1.0000044471100999</v>
      </c>
    </row>
    <row r="130" spans="2:8" x14ac:dyDescent="0.3">
      <c r="B130">
        <v>6</v>
      </c>
      <c r="C130">
        <v>6</v>
      </c>
      <c r="D130">
        <v>6</v>
      </c>
      <c r="E130">
        <v>6</v>
      </c>
      <c r="F130" s="48">
        <v>1.0000000000000799</v>
      </c>
      <c r="G130" s="48">
        <v>1</v>
      </c>
      <c r="H130" s="72">
        <v>1.0000000000000799</v>
      </c>
    </row>
    <row r="131" spans="2:8" x14ac:dyDescent="0.3">
      <c r="B131">
        <v>7</v>
      </c>
      <c r="C131">
        <v>1</v>
      </c>
      <c r="D131">
        <v>1</v>
      </c>
      <c r="E131">
        <v>1</v>
      </c>
      <c r="F131" s="48">
        <v>16.000021276923199</v>
      </c>
      <c r="G131" s="48">
        <v>16</v>
      </c>
      <c r="H131" s="72">
        <v>1.0000013298077</v>
      </c>
    </row>
    <row r="132" spans="2:8" x14ac:dyDescent="0.3">
      <c r="B132">
        <v>7</v>
      </c>
      <c r="C132">
        <v>2</v>
      </c>
      <c r="D132">
        <v>1</v>
      </c>
      <c r="E132">
        <v>1</v>
      </c>
      <c r="F132" s="48">
        <v>20.250069566733298</v>
      </c>
      <c r="G132" s="48">
        <v>20.25</v>
      </c>
      <c r="H132" s="72">
        <v>1.00000343539423</v>
      </c>
    </row>
    <row r="133" spans="2:8" x14ac:dyDescent="0.3">
      <c r="B133">
        <v>7</v>
      </c>
      <c r="C133">
        <v>2</v>
      </c>
      <c r="D133">
        <v>1</v>
      </c>
      <c r="E133">
        <v>2</v>
      </c>
      <c r="F133" s="48">
        <v>9.0000031519294392</v>
      </c>
      <c r="G133" s="48">
        <v>9</v>
      </c>
      <c r="H133" s="72">
        <v>1.0000003502143799</v>
      </c>
    </row>
    <row r="134" spans="2:8" x14ac:dyDescent="0.3">
      <c r="B134">
        <v>7</v>
      </c>
      <c r="C134">
        <v>2</v>
      </c>
      <c r="D134">
        <v>2</v>
      </c>
      <c r="E134">
        <v>2</v>
      </c>
      <c r="F134" s="48">
        <v>5.0625054848921698</v>
      </c>
      <c r="G134" s="48">
        <v>5.0625</v>
      </c>
      <c r="H134" s="72">
        <v>1.00000108343549</v>
      </c>
    </row>
    <row r="135" spans="2:8" x14ac:dyDescent="0.3">
      <c r="B135">
        <v>7</v>
      </c>
      <c r="C135">
        <v>3</v>
      </c>
      <c r="D135">
        <v>1</v>
      </c>
      <c r="E135">
        <v>1</v>
      </c>
      <c r="F135" s="48">
        <v>25.000045960902199</v>
      </c>
      <c r="G135" s="48">
        <v>25</v>
      </c>
      <c r="H135" s="72">
        <v>1.00000183843609</v>
      </c>
    </row>
    <row r="136" spans="2:8" x14ac:dyDescent="0.3">
      <c r="B136">
        <v>7</v>
      </c>
      <c r="C136">
        <v>3</v>
      </c>
      <c r="D136">
        <v>1</v>
      </c>
      <c r="E136">
        <v>2</v>
      </c>
      <c r="F136" s="48">
        <v>11.1111498072956</v>
      </c>
      <c r="G136" s="48">
        <v>11.1111111111111</v>
      </c>
      <c r="H136" s="72">
        <v>1.0000034826566</v>
      </c>
    </row>
    <row r="137" spans="2:8" x14ac:dyDescent="0.3">
      <c r="B137">
        <v>7</v>
      </c>
      <c r="C137">
        <v>3</v>
      </c>
      <c r="D137">
        <v>2</v>
      </c>
      <c r="E137">
        <v>2</v>
      </c>
      <c r="F137" s="48">
        <v>6.25001082772049</v>
      </c>
      <c r="G137" s="48">
        <v>6.25</v>
      </c>
      <c r="H137" s="72">
        <v>1.0000017324352699</v>
      </c>
    </row>
    <row r="138" spans="2:8" x14ac:dyDescent="0.3">
      <c r="B138">
        <v>7</v>
      </c>
      <c r="C138">
        <v>3</v>
      </c>
      <c r="D138">
        <v>1</v>
      </c>
      <c r="E138">
        <v>3</v>
      </c>
      <c r="F138" s="48">
        <v>6.2500049546833898</v>
      </c>
      <c r="G138" s="48">
        <v>6.25</v>
      </c>
      <c r="H138" s="72">
        <v>1.00000079274934</v>
      </c>
    </row>
    <row r="139" spans="2:8" x14ac:dyDescent="0.3">
      <c r="B139">
        <v>7</v>
      </c>
      <c r="C139">
        <v>3</v>
      </c>
      <c r="D139">
        <v>2</v>
      </c>
      <c r="E139">
        <v>3</v>
      </c>
      <c r="F139" s="48">
        <v>4.0000119086935797</v>
      </c>
      <c r="G139" s="48">
        <v>4</v>
      </c>
      <c r="H139" s="72">
        <v>1.00000297717339</v>
      </c>
    </row>
    <row r="140" spans="2:8" x14ac:dyDescent="0.3">
      <c r="B140">
        <v>7</v>
      </c>
      <c r="C140">
        <v>3</v>
      </c>
      <c r="D140">
        <v>3</v>
      </c>
      <c r="E140">
        <v>3</v>
      </c>
      <c r="F140" s="48">
        <v>2.7777945537596298</v>
      </c>
      <c r="G140" s="48">
        <v>2.7777777777777701</v>
      </c>
      <c r="H140" s="72">
        <v>1.00000603935346</v>
      </c>
    </row>
    <row r="141" spans="2:8" x14ac:dyDescent="0.3">
      <c r="B141">
        <v>7</v>
      </c>
      <c r="C141">
        <v>4</v>
      </c>
      <c r="D141">
        <v>1</v>
      </c>
      <c r="E141">
        <v>1</v>
      </c>
      <c r="F141" s="48">
        <v>30.2501055359694</v>
      </c>
      <c r="G141" s="48">
        <v>30.25</v>
      </c>
      <c r="H141" s="72">
        <v>1.0000034887923701</v>
      </c>
    </row>
    <row r="142" spans="2:8" x14ac:dyDescent="0.3">
      <c r="B142">
        <v>7</v>
      </c>
      <c r="C142">
        <v>4</v>
      </c>
      <c r="D142">
        <v>1</v>
      </c>
      <c r="E142">
        <v>2</v>
      </c>
      <c r="F142" s="48">
        <v>13.444480212172101</v>
      </c>
      <c r="G142" s="48">
        <v>13.4444444444444</v>
      </c>
      <c r="H142" s="72">
        <v>1.0000026604095</v>
      </c>
    </row>
    <row r="143" spans="2:8" x14ac:dyDescent="0.3">
      <c r="B143">
        <v>7</v>
      </c>
      <c r="C143">
        <v>4</v>
      </c>
      <c r="D143">
        <v>2</v>
      </c>
      <c r="E143">
        <v>2</v>
      </c>
      <c r="F143" s="48">
        <v>7.5625216560170996</v>
      </c>
      <c r="G143" s="48">
        <v>7.5625</v>
      </c>
      <c r="H143" s="72">
        <v>1.00000286360556</v>
      </c>
    </row>
    <row r="144" spans="2:8" x14ac:dyDescent="0.3">
      <c r="B144">
        <v>7</v>
      </c>
      <c r="C144">
        <v>4</v>
      </c>
      <c r="D144">
        <v>1</v>
      </c>
      <c r="E144">
        <v>3</v>
      </c>
      <c r="F144" s="48">
        <v>7.5625074196942998</v>
      </c>
      <c r="G144" s="48">
        <v>7.5625</v>
      </c>
      <c r="H144" s="72">
        <v>1.0000009811166</v>
      </c>
    </row>
    <row r="145" spans="2:8" x14ac:dyDescent="0.3">
      <c r="B145">
        <v>7</v>
      </c>
      <c r="C145">
        <v>4</v>
      </c>
      <c r="D145">
        <v>2</v>
      </c>
      <c r="E145">
        <v>3</v>
      </c>
      <c r="F145" s="48">
        <v>4.84003033213025</v>
      </c>
      <c r="G145" s="48">
        <v>4.84</v>
      </c>
      <c r="H145" s="72">
        <v>1.0000062669690599</v>
      </c>
    </row>
    <row r="146" spans="2:8" x14ac:dyDescent="0.3">
      <c r="B146">
        <v>7</v>
      </c>
      <c r="C146">
        <v>4</v>
      </c>
      <c r="D146">
        <v>3</v>
      </c>
      <c r="E146">
        <v>3</v>
      </c>
      <c r="F146" s="48">
        <v>3.36111615313368</v>
      </c>
      <c r="G146" s="48">
        <v>3.3611111111111098</v>
      </c>
      <c r="H146" s="72">
        <v>1.00000150010589</v>
      </c>
    </row>
    <row r="147" spans="2:8" x14ac:dyDescent="0.3">
      <c r="B147">
        <v>7</v>
      </c>
      <c r="C147">
        <v>4</v>
      </c>
      <c r="D147">
        <v>1</v>
      </c>
      <c r="E147">
        <v>4</v>
      </c>
      <c r="F147" s="48">
        <v>4.8400082232693</v>
      </c>
      <c r="G147" s="48">
        <v>4.84</v>
      </c>
      <c r="H147" s="72">
        <v>1.00000169902258</v>
      </c>
    </row>
    <row r="148" spans="2:8" x14ac:dyDescent="0.3">
      <c r="B148">
        <v>7</v>
      </c>
      <c r="C148">
        <v>4</v>
      </c>
      <c r="D148">
        <v>2</v>
      </c>
      <c r="E148">
        <v>4</v>
      </c>
      <c r="F148" s="48">
        <v>3.36112204023572</v>
      </c>
      <c r="G148" s="48">
        <v>3.3611111111111098</v>
      </c>
      <c r="H148" s="72">
        <v>1.0000032516403801</v>
      </c>
    </row>
    <row r="149" spans="2:8" x14ac:dyDescent="0.3">
      <c r="B149">
        <v>7</v>
      </c>
      <c r="C149">
        <v>4</v>
      </c>
      <c r="D149">
        <v>3</v>
      </c>
      <c r="E149">
        <v>4</v>
      </c>
      <c r="F149" s="48">
        <v>2.46940380312458</v>
      </c>
      <c r="G149" s="48">
        <v>2.4693877551020398</v>
      </c>
      <c r="H149" s="72">
        <v>1.00000649878598</v>
      </c>
    </row>
    <row r="150" spans="2:8" x14ac:dyDescent="0.3">
      <c r="B150">
        <v>7</v>
      </c>
      <c r="C150">
        <v>4</v>
      </c>
      <c r="D150">
        <v>4</v>
      </c>
      <c r="E150">
        <v>4</v>
      </c>
      <c r="F150" s="48">
        <v>1.89063133511379</v>
      </c>
      <c r="G150" s="48">
        <v>1.890625</v>
      </c>
      <c r="H150" s="72">
        <v>1.0000033508039801</v>
      </c>
    </row>
    <row r="151" spans="2:8" x14ac:dyDescent="0.3">
      <c r="B151">
        <v>7</v>
      </c>
      <c r="C151">
        <v>5</v>
      </c>
      <c r="D151">
        <v>1</v>
      </c>
      <c r="E151">
        <v>1</v>
      </c>
      <c r="F151" s="48">
        <v>36.000055114562599</v>
      </c>
      <c r="G151" s="48">
        <v>36</v>
      </c>
      <c r="H151" s="72">
        <v>1.0000015309600701</v>
      </c>
    </row>
    <row r="152" spans="2:8" x14ac:dyDescent="0.3">
      <c r="B152">
        <v>7</v>
      </c>
      <c r="C152">
        <v>5</v>
      </c>
      <c r="D152">
        <v>1</v>
      </c>
      <c r="E152">
        <v>2</v>
      </c>
      <c r="F152" s="48">
        <v>16.0000124058182</v>
      </c>
      <c r="G152" s="48">
        <v>16</v>
      </c>
      <c r="H152" s="72">
        <v>1.00000077536364</v>
      </c>
    </row>
    <row r="153" spans="2:8" x14ac:dyDescent="0.3">
      <c r="B153">
        <v>7</v>
      </c>
      <c r="C153">
        <v>5</v>
      </c>
      <c r="D153">
        <v>2</v>
      </c>
      <c r="E153">
        <v>2</v>
      </c>
      <c r="F153" s="48">
        <v>9.0000452881023101</v>
      </c>
      <c r="G153" s="48">
        <v>9</v>
      </c>
      <c r="H153" s="72">
        <v>1.00000503201136</v>
      </c>
    </row>
    <row r="154" spans="2:8" x14ac:dyDescent="0.3">
      <c r="B154">
        <v>7</v>
      </c>
      <c r="C154">
        <v>5</v>
      </c>
      <c r="D154">
        <v>1</v>
      </c>
      <c r="E154">
        <v>3</v>
      </c>
      <c r="F154" s="48">
        <v>9.0000082293673707</v>
      </c>
      <c r="G154" s="48">
        <v>9</v>
      </c>
      <c r="H154" s="72">
        <v>1.00000091437415</v>
      </c>
    </row>
    <row r="155" spans="2:8" x14ac:dyDescent="0.3">
      <c r="B155">
        <v>7</v>
      </c>
      <c r="C155">
        <v>5</v>
      </c>
      <c r="D155">
        <v>2</v>
      </c>
      <c r="E155">
        <v>3</v>
      </c>
      <c r="F155" s="48">
        <v>5.7600439299746702</v>
      </c>
      <c r="G155" s="48">
        <v>5.76</v>
      </c>
      <c r="H155" s="72">
        <v>1.00000762673171</v>
      </c>
    </row>
    <row r="156" spans="2:8" x14ac:dyDescent="0.3">
      <c r="B156">
        <v>7</v>
      </c>
      <c r="C156">
        <v>5</v>
      </c>
      <c r="D156">
        <v>3</v>
      </c>
      <c r="E156">
        <v>3</v>
      </c>
      <c r="F156" s="48">
        <v>4.0000130291557499</v>
      </c>
      <c r="G156" s="48">
        <v>4</v>
      </c>
      <c r="H156" s="72">
        <v>1.0000032572889299</v>
      </c>
    </row>
    <row r="157" spans="2:8" x14ac:dyDescent="0.3">
      <c r="B157">
        <v>7</v>
      </c>
      <c r="C157">
        <v>5</v>
      </c>
      <c r="D157">
        <v>1</v>
      </c>
      <c r="E157">
        <v>4</v>
      </c>
      <c r="F157" s="48">
        <v>5.7600200639564401</v>
      </c>
      <c r="G157" s="48">
        <v>5.76</v>
      </c>
      <c r="H157" s="72">
        <v>1.00000348332577</v>
      </c>
    </row>
    <row r="158" spans="2:8" x14ac:dyDescent="0.3">
      <c r="B158">
        <v>7</v>
      </c>
      <c r="C158">
        <v>5</v>
      </c>
      <c r="D158">
        <v>2</v>
      </c>
      <c r="E158">
        <v>4</v>
      </c>
      <c r="F158" s="48">
        <v>4.0000166001923896</v>
      </c>
      <c r="G158" s="48">
        <v>4</v>
      </c>
      <c r="H158" s="72">
        <v>1.0000041500480901</v>
      </c>
    </row>
    <row r="159" spans="2:8" x14ac:dyDescent="0.3">
      <c r="B159">
        <v>7</v>
      </c>
      <c r="C159">
        <v>5</v>
      </c>
      <c r="D159">
        <v>3</v>
      </c>
      <c r="E159">
        <v>4</v>
      </c>
      <c r="F159" s="48">
        <v>2.9387858911072602</v>
      </c>
      <c r="G159" s="48">
        <v>2.93877551020408</v>
      </c>
      <c r="H159" s="72">
        <v>1.00000353239066</v>
      </c>
    </row>
    <row r="160" spans="2:8" x14ac:dyDescent="0.3">
      <c r="B160">
        <v>7</v>
      </c>
      <c r="C160">
        <v>5</v>
      </c>
      <c r="D160">
        <v>4</v>
      </c>
      <c r="E160">
        <v>4</v>
      </c>
      <c r="F160" s="48">
        <v>2.2500041299025</v>
      </c>
      <c r="G160" s="48">
        <v>2.25</v>
      </c>
      <c r="H160" s="72">
        <v>1.00000183551222</v>
      </c>
    </row>
    <row r="161" spans="2:8" x14ac:dyDescent="0.3">
      <c r="B161">
        <v>7</v>
      </c>
      <c r="C161">
        <v>5</v>
      </c>
      <c r="D161">
        <v>1</v>
      </c>
      <c r="E161">
        <v>5</v>
      </c>
      <c r="F161" s="48">
        <v>4.0000109080256303</v>
      </c>
      <c r="G161" s="48">
        <v>4</v>
      </c>
      <c r="H161" s="72">
        <v>1.0000027270064</v>
      </c>
    </row>
    <row r="162" spans="2:8" x14ac:dyDescent="0.3">
      <c r="B162">
        <v>7</v>
      </c>
      <c r="C162">
        <v>5</v>
      </c>
      <c r="D162">
        <v>2</v>
      </c>
      <c r="E162">
        <v>5</v>
      </c>
      <c r="F162" s="48">
        <v>2.9387892540295399</v>
      </c>
      <c r="G162" s="48">
        <v>2.93877551020408</v>
      </c>
      <c r="H162" s="72">
        <v>1.0000046767183799</v>
      </c>
    </row>
    <row r="163" spans="2:8" x14ac:dyDescent="0.3">
      <c r="B163">
        <v>7</v>
      </c>
      <c r="C163">
        <v>5</v>
      </c>
      <c r="D163">
        <v>3</v>
      </c>
      <c r="E163">
        <v>5</v>
      </c>
      <c r="F163" s="48">
        <v>2.2500044008821298</v>
      </c>
      <c r="G163" s="48">
        <v>2.25</v>
      </c>
      <c r="H163" s="72">
        <v>1.0000019559476101</v>
      </c>
    </row>
    <row r="164" spans="2:8" x14ac:dyDescent="0.3">
      <c r="B164">
        <v>7</v>
      </c>
      <c r="C164">
        <v>5</v>
      </c>
      <c r="D164">
        <v>4</v>
      </c>
      <c r="E164">
        <v>5</v>
      </c>
      <c r="F164" s="48">
        <v>1.7777851401825</v>
      </c>
      <c r="G164" s="48">
        <v>1.7777777777777699</v>
      </c>
      <c r="H164" s="72">
        <v>1.0000041413526599</v>
      </c>
    </row>
    <row r="165" spans="2:8" x14ac:dyDescent="0.3">
      <c r="B165">
        <v>7</v>
      </c>
      <c r="C165">
        <v>5</v>
      </c>
      <c r="D165">
        <v>5</v>
      </c>
      <c r="E165">
        <v>5</v>
      </c>
      <c r="F165" s="48">
        <v>1.4400044660562501</v>
      </c>
      <c r="G165" s="48">
        <v>1.44</v>
      </c>
      <c r="H165" s="72">
        <v>1.00000310142795</v>
      </c>
    </row>
    <row r="166" spans="2:8" x14ac:dyDescent="0.3">
      <c r="B166">
        <v>7</v>
      </c>
      <c r="C166">
        <v>6</v>
      </c>
      <c r="D166">
        <v>1</v>
      </c>
      <c r="E166">
        <v>1</v>
      </c>
      <c r="F166" s="48">
        <v>42.250072540701098</v>
      </c>
      <c r="G166" s="48">
        <v>42.25</v>
      </c>
      <c r="H166" s="72">
        <v>1.00000171693967</v>
      </c>
    </row>
    <row r="167" spans="2:8" x14ac:dyDescent="0.3">
      <c r="B167">
        <v>7</v>
      </c>
      <c r="C167">
        <v>6</v>
      </c>
      <c r="D167">
        <v>1</v>
      </c>
      <c r="E167">
        <v>2</v>
      </c>
      <c r="F167" s="48">
        <v>18.777826034181299</v>
      </c>
      <c r="G167" s="48">
        <v>18.7777777777777</v>
      </c>
      <c r="H167" s="72">
        <v>1.00000256986764</v>
      </c>
    </row>
    <row r="168" spans="2:8" x14ac:dyDescent="0.3">
      <c r="B168">
        <v>7</v>
      </c>
      <c r="C168">
        <v>6</v>
      </c>
      <c r="D168">
        <v>2</v>
      </c>
      <c r="E168">
        <v>2</v>
      </c>
      <c r="F168" s="48">
        <v>10.562509631044399</v>
      </c>
      <c r="G168" s="48">
        <v>10.5625</v>
      </c>
      <c r="H168" s="72">
        <v>1.0000009118148501</v>
      </c>
    </row>
    <row r="169" spans="2:8" x14ac:dyDescent="0.3">
      <c r="B169">
        <v>7</v>
      </c>
      <c r="C169">
        <v>6</v>
      </c>
      <c r="D169">
        <v>1</v>
      </c>
      <c r="E169">
        <v>3</v>
      </c>
      <c r="F169" s="48">
        <v>10.5625158533591</v>
      </c>
      <c r="G169" s="48">
        <v>10.5625</v>
      </c>
      <c r="H169" s="72">
        <v>1.00000150090974</v>
      </c>
    </row>
    <row r="170" spans="2:8" x14ac:dyDescent="0.3">
      <c r="B170">
        <v>7</v>
      </c>
      <c r="C170">
        <v>6</v>
      </c>
      <c r="D170">
        <v>2</v>
      </c>
      <c r="E170">
        <v>3</v>
      </c>
      <c r="F170" s="48">
        <v>6.7600059966900297</v>
      </c>
      <c r="G170" s="48">
        <v>6.76</v>
      </c>
      <c r="H170" s="72">
        <v>1.00000088708432</v>
      </c>
    </row>
    <row r="171" spans="2:8" x14ac:dyDescent="0.3">
      <c r="B171">
        <v>7</v>
      </c>
      <c r="C171">
        <v>6</v>
      </c>
      <c r="D171">
        <v>3</v>
      </c>
      <c r="E171">
        <v>3</v>
      </c>
      <c r="F171" s="48">
        <v>4.6944519484150202</v>
      </c>
      <c r="G171" s="48">
        <v>4.6944444444444402</v>
      </c>
      <c r="H171" s="72">
        <v>1.0000015984789401</v>
      </c>
    </row>
    <row r="172" spans="2:8" x14ac:dyDescent="0.3">
      <c r="B172">
        <v>7</v>
      </c>
      <c r="C172">
        <v>6</v>
      </c>
      <c r="D172">
        <v>1</v>
      </c>
      <c r="E172">
        <v>4</v>
      </c>
      <c r="F172" s="48">
        <v>6.7600084547855301</v>
      </c>
      <c r="G172" s="48">
        <v>6.76</v>
      </c>
      <c r="H172" s="72">
        <v>1.0000012507079099</v>
      </c>
    </row>
    <row r="173" spans="2:8" x14ac:dyDescent="0.3">
      <c r="B173">
        <v>7</v>
      </c>
      <c r="C173">
        <v>6</v>
      </c>
      <c r="D173">
        <v>2</v>
      </c>
      <c r="E173">
        <v>4</v>
      </c>
      <c r="F173" s="48">
        <v>4.6944476367554797</v>
      </c>
      <c r="G173" s="48">
        <v>4.6944444444444402</v>
      </c>
      <c r="H173" s="72">
        <v>1.0000006800189101</v>
      </c>
    </row>
    <row r="174" spans="2:8" x14ac:dyDescent="0.3">
      <c r="B174">
        <v>7</v>
      </c>
      <c r="C174">
        <v>6</v>
      </c>
      <c r="D174">
        <v>3</v>
      </c>
      <c r="E174">
        <v>4</v>
      </c>
      <c r="F174" s="48">
        <v>3.4489883586474401</v>
      </c>
      <c r="G174" s="48">
        <v>3.4489795918367299</v>
      </c>
      <c r="H174" s="72">
        <v>1.0000025418563501</v>
      </c>
    </row>
    <row r="175" spans="2:8" x14ac:dyDescent="0.3">
      <c r="B175">
        <v>7</v>
      </c>
      <c r="C175">
        <v>6</v>
      </c>
      <c r="D175">
        <v>4</v>
      </c>
      <c r="E175">
        <v>4</v>
      </c>
      <c r="F175" s="48">
        <v>2.6406277775098701</v>
      </c>
      <c r="G175" s="48">
        <v>2.640625</v>
      </c>
      <c r="H175" s="72">
        <v>1.00000105183805</v>
      </c>
    </row>
    <row r="176" spans="2:8" x14ac:dyDescent="0.3">
      <c r="B176">
        <v>7</v>
      </c>
      <c r="C176">
        <v>6</v>
      </c>
      <c r="D176">
        <v>1</v>
      </c>
      <c r="E176">
        <v>5</v>
      </c>
      <c r="F176" s="48">
        <v>4.6944507180612201</v>
      </c>
      <c r="G176" s="48">
        <v>4.6944444444444402</v>
      </c>
      <c r="H176" s="72">
        <v>1.0000013363917399</v>
      </c>
    </row>
    <row r="177" spans="2:8" x14ac:dyDescent="0.3">
      <c r="B177">
        <v>7</v>
      </c>
      <c r="C177">
        <v>6</v>
      </c>
      <c r="D177">
        <v>2</v>
      </c>
      <c r="E177">
        <v>5</v>
      </c>
      <c r="F177" s="48">
        <v>3.4489926886898998</v>
      </c>
      <c r="G177" s="48">
        <v>3.4489795918367299</v>
      </c>
      <c r="H177" s="72">
        <v>1.00000379731245</v>
      </c>
    </row>
    <row r="178" spans="2:8" x14ac:dyDescent="0.3">
      <c r="B178">
        <v>7</v>
      </c>
      <c r="C178">
        <v>6</v>
      </c>
      <c r="D178">
        <v>3</v>
      </c>
      <c r="E178">
        <v>5</v>
      </c>
      <c r="F178" s="48">
        <v>2.64063210167232</v>
      </c>
      <c r="G178" s="48">
        <v>2.640625</v>
      </c>
      <c r="H178" s="72">
        <v>1.0000026893906999</v>
      </c>
    </row>
    <row r="179" spans="2:8" x14ac:dyDescent="0.3">
      <c r="B179">
        <v>7</v>
      </c>
      <c r="C179">
        <v>6</v>
      </c>
      <c r="D179">
        <v>4</v>
      </c>
      <c r="E179">
        <v>5</v>
      </c>
      <c r="F179" s="48">
        <v>2.0864274629278299</v>
      </c>
      <c r="G179" s="48">
        <v>2.0864197530864099</v>
      </c>
      <c r="H179" s="72">
        <v>1.00000369524943</v>
      </c>
    </row>
    <row r="180" spans="2:8" x14ac:dyDescent="0.3">
      <c r="B180">
        <v>7</v>
      </c>
      <c r="C180">
        <v>6</v>
      </c>
      <c r="D180">
        <v>5</v>
      </c>
      <c r="E180">
        <v>5</v>
      </c>
      <c r="F180" s="48">
        <v>1.6900051457123899</v>
      </c>
      <c r="G180" s="48">
        <v>1.69</v>
      </c>
      <c r="H180" s="72">
        <v>1.0000030448002299</v>
      </c>
    </row>
    <row r="181" spans="2:8" x14ac:dyDescent="0.3">
      <c r="B181">
        <v>7</v>
      </c>
      <c r="C181">
        <v>6</v>
      </c>
      <c r="D181">
        <v>1</v>
      </c>
      <c r="E181">
        <v>6</v>
      </c>
      <c r="F181" s="48">
        <v>3.44898894982104</v>
      </c>
      <c r="G181" s="48">
        <v>3.4489795918367299</v>
      </c>
      <c r="H181" s="72">
        <v>1.00000271326172</v>
      </c>
    </row>
    <row r="182" spans="2:8" x14ac:dyDescent="0.3">
      <c r="B182">
        <v>7</v>
      </c>
      <c r="C182">
        <v>6</v>
      </c>
      <c r="D182">
        <v>2</v>
      </c>
      <c r="E182">
        <v>6</v>
      </c>
      <c r="F182" s="48">
        <v>2.64063626602635</v>
      </c>
      <c r="G182" s="48">
        <v>2.640625</v>
      </c>
      <c r="H182" s="72">
        <v>1.0000042664241799</v>
      </c>
    </row>
    <row r="183" spans="2:8" x14ac:dyDescent="0.3">
      <c r="B183">
        <v>7</v>
      </c>
      <c r="C183">
        <v>6</v>
      </c>
      <c r="D183">
        <v>3</v>
      </c>
      <c r="E183">
        <v>6</v>
      </c>
      <c r="F183" s="48">
        <v>2.08642558500692</v>
      </c>
      <c r="G183" s="48">
        <v>2.0864197530864099</v>
      </c>
      <c r="H183" s="72">
        <v>1.0000027951808299</v>
      </c>
    </row>
    <row r="184" spans="2:8" x14ac:dyDescent="0.3">
      <c r="B184">
        <v>7</v>
      </c>
      <c r="C184">
        <v>6</v>
      </c>
      <c r="D184">
        <v>4</v>
      </c>
      <c r="E184">
        <v>6</v>
      </c>
      <c r="F184" s="48">
        <v>1.690001476485</v>
      </c>
      <c r="G184" s="48">
        <v>1.69</v>
      </c>
      <c r="H184" s="72">
        <v>1.0000008736597601</v>
      </c>
    </row>
    <row r="185" spans="2:8" x14ac:dyDescent="0.3">
      <c r="B185">
        <v>7</v>
      </c>
      <c r="C185">
        <v>6</v>
      </c>
      <c r="D185">
        <v>5</v>
      </c>
      <c r="E185">
        <v>6</v>
      </c>
      <c r="F185" s="48">
        <v>1.3967003199361301</v>
      </c>
      <c r="G185" s="48">
        <v>1.39669421487603</v>
      </c>
      <c r="H185" s="72">
        <v>1.00000437107853</v>
      </c>
    </row>
    <row r="186" spans="2:8" x14ac:dyDescent="0.3">
      <c r="B186">
        <v>7</v>
      </c>
      <c r="C186">
        <v>6</v>
      </c>
      <c r="D186">
        <v>6</v>
      </c>
      <c r="E186">
        <v>6</v>
      </c>
      <c r="F186" s="48">
        <v>1.17361158941535</v>
      </c>
      <c r="G186" s="48">
        <v>1.1736111111111101</v>
      </c>
      <c r="H186" s="72">
        <v>1.00000040754918</v>
      </c>
    </row>
    <row r="187" spans="2:8" x14ac:dyDescent="0.3">
      <c r="B187">
        <v>7</v>
      </c>
      <c r="C187">
        <v>7</v>
      </c>
      <c r="D187">
        <v>1</v>
      </c>
      <c r="E187">
        <v>1</v>
      </c>
      <c r="F187" s="48">
        <v>49.000000000003702</v>
      </c>
      <c r="G187" s="48">
        <v>49</v>
      </c>
      <c r="H187" s="72">
        <v>1.0000000000000699</v>
      </c>
    </row>
    <row r="188" spans="2:8" x14ac:dyDescent="0.3">
      <c r="B188">
        <v>7</v>
      </c>
      <c r="C188">
        <v>7</v>
      </c>
      <c r="D188">
        <v>1</v>
      </c>
      <c r="E188">
        <v>2</v>
      </c>
      <c r="F188" s="48">
        <v>21.777813469550001</v>
      </c>
      <c r="G188" s="48">
        <v>21.7777777777777</v>
      </c>
      <c r="H188" s="72">
        <v>1.0000016389079001</v>
      </c>
    </row>
    <row r="189" spans="2:8" x14ac:dyDescent="0.3">
      <c r="B189">
        <v>7</v>
      </c>
      <c r="C189">
        <v>7</v>
      </c>
      <c r="D189">
        <v>2</v>
      </c>
      <c r="E189">
        <v>2</v>
      </c>
      <c r="F189" s="48">
        <v>12.250000000006899</v>
      </c>
      <c r="G189" s="48">
        <v>12.25</v>
      </c>
      <c r="H189" s="72">
        <v>1.00000000000056</v>
      </c>
    </row>
    <row r="190" spans="2:8" x14ac:dyDescent="0.3">
      <c r="B190">
        <v>7</v>
      </c>
      <c r="C190">
        <v>7</v>
      </c>
      <c r="D190">
        <v>1</v>
      </c>
      <c r="E190">
        <v>3</v>
      </c>
      <c r="F190" s="48">
        <v>12.250023116942</v>
      </c>
      <c r="G190" s="48">
        <v>12.25</v>
      </c>
      <c r="H190" s="72">
        <v>1.00000188709731</v>
      </c>
    </row>
    <row r="191" spans="2:8" x14ac:dyDescent="0.3">
      <c r="B191">
        <v>7</v>
      </c>
      <c r="C191">
        <v>7</v>
      </c>
      <c r="D191">
        <v>2</v>
      </c>
      <c r="E191">
        <v>3</v>
      </c>
      <c r="F191" s="48">
        <v>7.8400155471124302</v>
      </c>
      <c r="G191" s="48">
        <v>7.8399999999999901</v>
      </c>
      <c r="H191" s="72">
        <v>1.0000019830500499</v>
      </c>
    </row>
    <row r="192" spans="2:8" x14ac:dyDescent="0.3">
      <c r="B192">
        <v>7</v>
      </c>
      <c r="C192">
        <v>7</v>
      </c>
      <c r="D192">
        <v>3</v>
      </c>
      <c r="E192">
        <v>3</v>
      </c>
      <c r="F192" s="48">
        <v>5.4444444444444704</v>
      </c>
      <c r="G192" s="48">
        <v>5.4444444444444402</v>
      </c>
      <c r="H192" s="72">
        <v>1</v>
      </c>
    </row>
    <row r="193" spans="2:8" x14ac:dyDescent="0.3">
      <c r="B193">
        <v>7</v>
      </c>
      <c r="C193">
        <v>7</v>
      </c>
      <c r="D193">
        <v>1</v>
      </c>
      <c r="E193">
        <v>4</v>
      </c>
      <c r="F193" s="48">
        <v>7.84002341373135</v>
      </c>
      <c r="G193" s="48">
        <v>7.8399999999999901</v>
      </c>
      <c r="H193" s="72">
        <v>1.0000029864453199</v>
      </c>
    </row>
    <row r="194" spans="2:8" x14ac:dyDescent="0.3">
      <c r="B194">
        <v>7</v>
      </c>
      <c r="C194">
        <v>7</v>
      </c>
      <c r="D194">
        <v>2</v>
      </c>
      <c r="E194">
        <v>4</v>
      </c>
      <c r="F194" s="48">
        <v>5.4444534010562302</v>
      </c>
      <c r="G194" s="48">
        <v>5.4444444444444402</v>
      </c>
      <c r="H194" s="72">
        <v>1.00000164509196</v>
      </c>
    </row>
    <row r="195" spans="2:8" x14ac:dyDescent="0.3">
      <c r="B195">
        <v>7</v>
      </c>
      <c r="C195">
        <v>7</v>
      </c>
      <c r="D195">
        <v>3</v>
      </c>
      <c r="E195">
        <v>4</v>
      </c>
      <c r="F195" s="48">
        <v>4.0000034255930803</v>
      </c>
      <c r="G195" s="48">
        <v>4</v>
      </c>
      <c r="H195" s="72">
        <v>1.0000008563982701</v>
      </c>
    </row>
    <row r="196" spans="2:8" x14ac:dyDescent="0.3">
      <c r="B196">
        <v>7</v>
      </c>
      <c r="C196">
        <v>7</v>
      </c>
      <c r="D196">
        <v>4</v>
      </c>
      <c r="E196">
        <v>4</v>
      </c>
      <c r="F196" s="48">
        <v>3.0625</v>
      </c>
      <c r="G196" s="48">
        <v>3.0625</v>
      </c>
      <c r="H196" s="72">
        <v>1</v>
      </c>
    </row>
    <row r="197" spans="2:8" x14ac:dyDescent="0.3">
      <c r="B197">
        <v>7</v>
      </c>
      <c r="C197">
        <v>7</v>
      </c>
      <c r="D197">
        <v>1</v>
      </c>
      <c r="E197">
        <v>5</v>
      </c>
      <c r="F197" s="48">
        <v>5.4444473269361904</v>
      </c>
      <c r="G197" s="48">
        <v>5.4444444444444402</v>
      </c>
      <c r="H197" s="72">
        <v>1.00000052943726</v>
      </c>
    </row>
    <row r="198" spans="2:8" x14ac:dyDescent="0.3">
      <c r="B198">
        <v>7</v>
      </c>
      <c r="C198">
        <v>7</v>
      </c>
      <c r="D198">
        <v>2</v>
      </c>
      <c r="E198">
        <v>5</v>
      </c>
      <c r="F198" s="48">
        <v>4.0000160540195902</v>
      </c>
      <c r="G198" s="48">
        <v>4</v>
      </c>
      <c r="H198" s="72">
        <v>1.00000401350489</v>
      </c>
    </row>
    <row r="199" spans="2:8" x14ac:dyDescent="0.3">
      <c r="B199">
        <v>7</v>
      </c>
      <c r="C199">
        <v>7</v>
      </c>
      <c r="D199">
        <v>3</v>
      </c>
      <c r="E199">
        <v>5</v>
      </c>
      <c r="F199" s="48">
        <v>3.0625020315754599</v>
      </c>
      <c r="G199" s="48">
        <v>3.0625</v>
      </c>
      <c r="H199" s="72">
        <v>1.0000006633715799</v>
      </c>
    </row>
    <row r="200" spans="2:8" x14ac:dyDescent="0.3">
      <c r="B200">
        <v>7</v>
      </c>
      <c r="C200">
        <v>7</v>
      </c>
      <c r="D200">
        <v>4</v>
      </c>
      <c r="E200">
        <v>5</v>
      </c>
      <c r="F200" s="48">
        <v>2.4197629182490998</v>
      </c>
      <c r="G200" s="48">
        <v>2.4197530864197501</v>
      </c>
      <c r="H200" s="72">
        <v>1.00000406315396</v>
      </c>
    </row>
    <row r="201" spans="2:8" x14ac:dyDescent="0.3">
      <c r="B201">
        <v>7</v>
      </c>
      <c r="C201">
        <v>7</v>
      </c>
      <c r="D201">
        <v>5</v>
      </c>
      <c r="E201">
        <v>5</v>
      </c>
      <c r="F201" s="48">
        <v>1.96</v>
      </c>
      <c r="G201" s="48">
        <v>1.95999999999999</v>
      </c>
      <c r="H201" s="72">
        <v>1</v>
      </c>
    </row>
    <row r="202" spans="2:8" x14ac:dyDescent="0.3">
      <c r="B202">
        <v>7</v>
      </c>
      <c r="C202">
        <v>7</v>
      </c>
      <c r="D202">
        <v>1</v>
      </c>
      <c r="E202">
        <v>6</v>
      </c>
      <c r="F202" s="48">
        <v>4.0000074672228898</v>
      </c>
      <c r="G202" s="48">
        <v>4</v>
      </c>
      <c r="H202" s="72">
        <v>1.00000186680572</v>
      </c>
    </row>
    <row r="203" spans="2:8" x14ac:dyDescent="0.3">
      <c r="B203">
        <v>7</v>
      </c>
      <c r="C203">
        <v>7</v>
      </c>
      <c r="D203">
        <v>2</v>
      </c>
      <c r="E203">
        <v>6</v>
      </c>
      <c r="F203" s="48">
        <v>3.0625089614721701</v>
      </c>
      <c r="G203" s="48">
        <v>3.0625</v>
      </c>
      <c r="H203" s="72">
        <v>1.0000029261949901</v>
      </c>
    </row>
    <row r="204" spans="2:8" x14ac:dyDescent="0.3">
      <c r="B204">
        <v>7</v>
      </c>
      <c r="C204">
        <v>7</v>
      </c>
      <c r="D204">
        <v>3</v>
      </c>
      <c r="E204">
        <v>6</v>
      </c>
      <c r="F204" s="48">
        <v>2.4197600084616102</v>
      </c>
      <c r="G204" s="48">
        <v>2.4197530864197501</v>
      </c>
      <c r="H204" s="72">
        <v>1.00000286063974</v>
      </c>
    </row>
    <row r="205" spans="2:8" x14ac:dyDescent="0.3">
      <c r="B205">
        <v>7</v>
      </c>
      <c r="C205">
        <v>7</v>
      </c>
      <c r="D205">
        <v>4</v>
      </c>
      <c r="E205">
        <v>6</v>
      </c>
      <c r="F205" s="48">
        <v>1.9600060600879901</v>
      </c>
      <c r="G205" s="48">
        <v>1.95999999999999</v>
      </c>
      <c r="H205" s="72">
        <v>1.0000030918816301</v>
      </c>
    </row>
    <row r="206" spans="2:8" x14ac:dyDescent="0.3">
      <c r="B206">
        <v>7</v>
      </c>
      <c r="C206">
        <v>7</v>
      </c>
      <c r="D206">
        <v>5</v>
      </c>
      <c r="E206">
        <v>6</v>
      </c>
      <c r="F206" s="48">
        <v>1.6198362399259001</v>
      </c>
      <c r="G206" s="48">
        <v>1.6198347107438</v>
      </c>
      <c r="H206" s="72">
        <v>1.0000009440358899</v>
      </c>
    </row>
    <row r="207" spans="2:8" x14ac:dyDescent="0.3">
      <c r="B207">
        <v>7</v>
      </c>
      <c r="C207">
        <v>7</v>
      </c>
      <c r="D207">
        <v>6</v>
      </c>
      <c r="E207">
        <v>6</v>
      </c>
      <c r="F207" s="48">
        <v>1.3611111111111101</v>
      </c>
      <c r="G207" s="48">
        <v>1.3611111111111101</v>
      </c>
      <c r="H207" s="72">
        <v>1</v>
      </c>
    </row>
    <row r="208" spans="2:8" x14ac:dyDescent="0.3">
      <c r="B208">
        <v>7</v>
      </c>
      <c r="C208">
        <v>7</v>
      </c>
      <c r="D208">
        <v>1</v>
      </c>
      <c r="E208">
        <v>7</v>
      </c>
      <c r="F208" s="48">
        <v>3.06251845363925</v>
      </c>
      <c r="G208" s="48">
        <v>3.0625</v>
      </c>
      <c r="H208" s="72">
        <v>1.00000602567812</v>
      </c>
    </row>
    <row r="209" spans="2:8" x14ac:dyDescent="0.3">
      <c r="B209">
        <v>7</v>
      </c>
      <c r="C209">
        <v>7</v>
      </c>
      <c r="D209">
        <v>2</v>
      </c>
      <c r="E209">
        <v>7</v>
      </c>
      <c r="F209" s="48">
        <v>2.4197641321941701</v>
      </c>
      <c r="G209" s="48">
        <v>2.4197530864197501</v>
      </c>
      <c r="H209" s="72">
        <v>1.0000045648353399</v>
      </c>
    </row>
    <row r="210" spans="2:8" x14ac:dyDescent="0.3">
      <c r="B210">
        <v>7</v>
      </c>
      <c r="C210">
        <v>7</v>
      </c>
      <c r="D210">
        <v>3</v>
      </c>
      <c r="E210">
        <v>7</v>
      </c>
      <c r="F210" s="48">
        <v>1.96000282736061</v>
      </c>
      <c r="G210" s="48">
        <v>1.95999999999999</v>
      </c>
      <c r="H210" s="72">
        <v>1.00000144253092</v>
      </c>
    </row>
    <row r="211" spans="2:8" x14ac:dyDescent="0.3">
      <c r="B211">
        <v>7</v>
      </c>
      <c r="C211">
        <v>7</v>
      </c>
      <c r="D211">
        <v>4</v>
      </c>
      <c r="E211">
        <v>7</v>
      </c>
      <c r="F211" s="48">
        <v>1.61984000526936</v>
      </c>
      <c r="G211" s="48">
        <v>1.6198347107438</v>
      </c>
      <c r="H211" s="72">
        <v>1.00000326855914</v>
      </c>
    </row>
    <row r="212" spans="2:8" x14ac:dyDescent="0.3">
      <c r="B212">
        <v>7</v>
      </c>
      <c r="C212">
        <v>7</v>
      </c>
      <c r="D212">
        <v>5</v>
      </c>
      <c r="E212">
        <v>7</v>
      </c>
      <c r="F212" s="48">
        <v>1.36111308771329</v>
      </c>
      <c r="G212" s="48">
        <v>1.3611111111111101</v>
      </c>
      <c r="H212" s="72">
        <v>1.00000145219752</v>
      </c>
    </row>
    <row r="213" spans="2:8" x14ac:dyDescent="0.3">
      <c r="B213">
        <v>7</v>
      </c>
      <c r="C213">
        <v>7</v>
      </c>
      <c r="D213">
        <v>6</v>
      </c>
      <c r="E213">
        <v>7</v>
      </c>
      <c r="F213" s="48">
        <v>1.15976814581053</v>
      </c>
      <c r="G213" s="48">
        <v>1.1597633136094601</v>
      </c>
      <c r="H213" s="72">
        <v>1.00000416654071</v>
      </c>
    </row>
    <row r="214" spans="2:8" x14ac:dyDescent="0.3">
      <c r="B214">
        <v>7</v>
      </c>
      <c r="C214">
        <v>7</v>
      </c>
      <c r="D214">
        <v>7</v>
      </c>
      <c r="E214">
        <v>7</v>
      </c>
      <c r="F214" s="48">
        <v>1</v>
      </c>
      <c r="G214" s="48">
        <v>1</v>
      </c>
      <c r="H214" s="72">
        <v>1</v>
      </c>
    </row>
    <row r="215" spans="2:8" x14ac:dyDescent="0.3">
      <c r="B215">
        <v>8</v>
      </c>
      <c r="C215">
        <v>1</v>
      </c>
      <c r="D215">
        <v>1</v>
      </c>
      <c r="E215">
        <v>1</v>
      </c>
      <c r="F215" s="48">
        <v>20.2500561120805</v>
      </c>
      <c r="G215" s="48">
        <v>20.25</v>
      </c>
      <c r="H215" s="72">
        <v>1.0000027709669399</v>
      </c>
    </row>
    <row r="216" spans="2:8" x14ac:dyDescent="0.3">
      <c r="B216">
        <v>8</v>
      </c>
      <c r="C216">
        <v>2</v>
      </c>
      <c r="D216">
        <v>1</v>
      </c>
      <c r="E216">
        <v>1</v>
      </c>
      <c r="F216" s="48">
        <v>25.000127575666401</v>
      </c>
      <c r="G216" s="48">
        <v>25</v>
      </c>
      <c r="H216" s="72">
        <v>1.0000051030266499</v>
      </c>
    </row>
    <row r="217" spans="2:8" x14ac:dyDescent="0.3">
      <c r="B217">
        <v>8</v>
      </c>
      <c r="C217">
        <v>2</v>
      </c>
      <c r="D217">
        <v>1</v>
      </c>
      <c r="E217">
        <v>2</v>
      </c>
      <c r="F217" s="48">
        <v>11.1111212985123</v>
      </c>
      <c r="G217" s="48">
        <v>11.1111111111111</v>
      </c>
      <c r="H217" s="72">
        <v>1.0000009168661099</v>
      </c>
    </row>
    <row r="218" spans="2:8" x14ac:dyDescent="0.3">
      <c r="B218">
        <v>8</v>
      </c>
      <c r="C218">
        <v>2</v>
      </c>
      <c r="D218">
        <v>2</v>
      </c>
      <c r="E218">
        <v>2</v>
      </c>
      <c r="F218" s="48">
        <v>6.250015583723</v>
      </c>
      <c r="G218" s="48">
        <v>6.25</v>
      </c>
      <c r="H218" s="72">
        <v>1.0000024933956799</v>
      </c>
    </row>
    <row r="219" spans="2:8" x14ac:dyDescent="0.3">
      <c r="B219">
        <v>8</v>
      </c>
      <c r="C219">
        <v>3</v>
      </c>
      <c r="D219">
        <v>1</v>
      </c>
      <c r="E219">
        <v>1</v>
      </c>
      <c r="F219" s="48">
        <v>30.250035542135102</v>
      </c>
      <c r="G219" s="48">
        <v>30.25</v>
      </c>
      <c r="H219" s="72">
        <v>1.00000117494661</v>
      </c>
    </row>
    <row r="220" spans="2:8" x14ac:dyDescent="0.3">
      <c r="B220">
        <v>8</v>
      </c>
      <c r="C220">
        <v>3</v>
      </c>
      <c r="D220">
        <v>1</v>
      </c>
      <c r="E220">
        <v>2</v>
      </c>
      <c r="F220" s="48">
        <v>13.444482391715001</v>
      </c>
      <c r="G220" s="48">
        <v>13.4444444444444</v>
      </c>
      <c r="H220" s="72">
        <v>1.0000028225242601</v>
      </c>
    </row>
    <row r="221" spans="2:8" x14ac:dyDescent="0.3">
      <c r="B221">
        <v>8</v>
      </c>
      <c r="C221">
        <v>3</v>
      </c>
      <c r="D221">
        <v>2</v>
      </c>
      <c r="E221">
        <v>2</v>
      </c>
      <c r="F221" s="48">
        <v>7.5625033250897999</v>
      </c>
      <c r="G221" s="48">
        <v>7.5625</v>
      </c>
      <c r="H221" s="72">
        <v>1.00000043968129</v>
      </c>
    </row>
    <row r="222" spans="2:8" x14ac:dyDescent="0.3">
      <c r="B222">
        <v>8</v>
      </c>
      <c r="C222">
        <v>3</v>
      </c>
      <c r="D222">
        <v>1</v>
      </c>
      <c r="E222">
        <v>3</v>
      </c>
      <c r="F222" s="48">
        <v>7.5625026620187601</v>
      </c>
      <c r="G222" s="48">
        <v>7.5625</v>
      </c>
      <c r="H222" s="72">
        <v>1.0000003520024801</v>
      </c>
    </row>
    <row r="223" spans="2:8" x14ac:dyDescent="0.3">
      <c r="B223">
        <v>8</v>
      </c>
      <c r="C223">
        <v>3</v>
      </c>
      <c r="D223">
        <v>2</v>
      </c>
      <c r="E223">
        <v>3</v>
      </c>
      <c r="F223" s="48">
        <v>4.8400197435302799</v>
      </c>
      <c r="G223" s="48">
        <v>4.84</v>
      </c>
      <c r="H223" s="72">
        <v>1.0000040792417899</v>
      </c>
    </row>
    <row r="224" spans="2:8" x14ac:dyDescent="0.3">
      <c r="B224">
        <v>8</v>
      </c>
      <c r="C224">
        <v>3</v>
      </c>
      <c r="D224">
        <v>3</v>
      </c>
      <c r="E224">
        <v>3</v>
      </c>
      <c r="F224" s="48">
        <v>3.3611212404061099</v>
      </c>
      <c r="G224" s="48">
        <v>3.3611111111111098</v>
      </c>
      <c r="H224" s="72">
        <v>1.0000030136745399</v>
      </c>
    </row>
    <row r="225" spans="2:8" x14ac:dyDescent="0.3">
      <c r="B225">
        <v>8</v>
      </c>
      <c r="C225">
        <v>4</v>
      </c>
      <c r="D225">
        <v>1</v>
      </c>
      <c r="E225">
        <v>1</v>
      </c>
      <c r="F225" s="48">
        <v>36.000024521672501</v>
      </c>
      <c r="G225" s="48">
        <v>36</v>
      </c>
      <c r="H225" s="72">
        <v>1.0000006811575699</v>
      </c>
    </row>
    <row r="226" spans="2:8" x14ac:dyDescent="0.3">
      <c r="B226">
        <v>8</v>
      </c>
      <c r="C226">
        <v>4</v>
      </c>
      <c r="D226">
        <v>1</v>
      </c>
      <c r="E226">
        <v>2</v>
      </c>
      <c r="F226" s="48">
        <v>16.000017433503999</v>
      </c>
      <c r="G226" s="48">
        <v>16</v>
      </c>
      <c r="H226" s="72">
        <v>1.0000010895939999</v>
      </c>
    </row>
    <row r="227" spans="2:8" x14ac:dyDescent="0.3">
      <c r="B227">
        <v>8</v>
      </c>
      <c r="C227">
        <v>4</v>
      </c>
      <c r="D227">
        <v>2</v>
      </c>
      <c r="E227">
        <v>2</v>
      </c>
      <c r="F227" s="48">
        <v>9.0000092269235203</v>
      </c>
      <c r="G227" s="48">
        <v>9</v>
      </c>
      <c r="H227" s="72">
        <v>1.0000010252137199</v>
      </c>
    </row>
    <row r="228" spans="2:8" x14ac:dyDescent="0.3">
      <c r="B228">
        <v>8</v>
      </c>
      <c r="C228">
        <v>4</v>
      </c>
      <c r="D228">
        <v>1</v>
      </c>
      <c r="E228">
        <v>3</v>
      </c>
      <c r="F228" s="48">
        <v>9.0000046584025295</v>
      </c>
      <c r="G228" s="48">
        <v>9</v>
      </c>
      <c r="H228" s="72">
        <v>1.00000051760028</v>
      </c>
    </row>
    <row r="229" spans="2:8" x14ac:dyDescent="0.3">
      <c r="B229">
        <v>8</v>
      </c>
      <c r="C229">
        <v>4</v>
      </c>
      <c r="D229">
        <v>2</v>
      </c>
      <c r="E229">
        <v>3</v>
      </c>
      <c r="F229" s="48">
        <v>5.7600285010028696</v>
      </c>
      <c r="G229" s="48">
        <v>5.76</v>
      </c>
      <c r="H229" s="72">
        <v>1.00000494809077</v>
      </c>
    </row>
    <row r="230" spans="2:8" x14ac:dyDescent="0.3">
      <c r="B230">
        <v>8</v>
      </c>
      <c r="C230">
        <v>4</v>
      </c>
      <c r="D230">
        <v>3</v>
      </c>
      <c r="E230">
        <v>3</v>
      </c>
      <c r="F230" s="48">
        <v>4.0000150848454004</v>
      </c>
      <c r="G230" s="48">
        <v>4</v>
      </c>
      <c r="H230" s="72">
        <v>1.0000037712113501</v>
      </c>
    </row>
    <row r="231" spans="2:8" x14ac:dyDescent="0.3">
      <c r="B231">
        <v>8</v>
      </c>
      <c r="C231">
        <v>4</v>
      </c>
      <c r="D231">
        <v>1</v>
      </c>
      <c r="E231">
        <v>4</v>
      </c>
      <c r="F231" s="48">
        <v>5.7600112027987098</v>
      </c>
      <c r="G231" s="48">
        <v>5.76</v>
      </c>
      <c r="H231" s="72">
        <v>1.0000019449303299</v>
      </c>
    </row>
    <row r="232" spans="2:8" x14ac:dyDescent="0.3">
      <c r="B232">
        <v>8</v>
      </c>
      <c r="C232">
        <v>4</v>
      </c>
      <c r="D232">
        <v>2</v>
      </c>
      <c r="E232">
        <v>4</v>
      </c>
      <c r="F232" s="48">
        <v>4.0000151307902803</v>
      </c>
      <c r="G232" s="48">
        <v>4</v>
      </c>
      <c r="H232" s="72">
        <v>1.0000037826975701</v>
      </c>
    </row>
    <row r="233" spans="2:8" x14ac:dyDescent="0.3">
      <c r="B233">
        <v>8</v>
      </c>
      <c r="C233">
        <v>4</v>
      </c>
      <c r="D233">
        <v>3</v>
      </c>
      <c r="E233">
        <v>4</v>
      </c>
      <c r="F233" s="48">
        <v>2.9387877211845401</v>
      </c>
      <c r="G233" s="48">
        <v>2.93877551020408</v>
      </c>
      <c r="H233" s="72">
        <v>1.0000041551252901</v>
      </c>
    </row>
    <row r="234" spans="2:8" x14ac:dyDescent="0.3">
      <c r="B234">
        <v>8</v>
      </c>
      <c r="C234">
        <v>4</v>
      </c>
      <c r="D234">
        <v>4</v>
      </c>
      <c r="E234">
        <v>4</v>
      </c>
      <c r="F234" s="48">
        <v>2.2500093961771301</v>
      </c>
      <c r="G234" s="48">
        <v>2.25</v>
      </c>
      <c r="H234" s="72">
        <v>1.0000041760787199</v>
      </c>
    </row>
    <row r="235" spans="2:8" x14ac:dyDescent="0.3">
      <c r="B235">
        <v>8</v>
      </c>
      <c r="C235">
        <v>5</v>
      </c>
      <c r="D235">
        <v>1</v>
      </c>
      <c r="E235">
        <v>1</v>
      </c>
      <c r="F235" s="48">
        <v>42.250091236198102</v>
      </c>
      <c r="G235" s="48">
        <v>42.25</v>
      </c>
      <c r="H235" s="72">
        <v>1.0000021594366399</v>
      </c>
    </row>
    <row r="236" spans="2:8" x14ac:dyDescent="0.3">
      <c r="B236">
        <v>8</v>
      </c>
      <c r="C236">
        <v>5</v>
      </c>
      <c r="D236">
        <v>1</v>
      </c>
      <c r="E236">
        <v>2</v>
      </c>
      <c r="F236" s="48">
        <v>18.777818820980102</v>
      </c>
      <c r="G236" s="48">
        <v>18.7777777777777</v>
      </c>
      <c r="H236" s="72">
        <v>1.00000218573267</v>
      </c>
    </row>
    <row r="237" spans="2:8" x14ac:dyDescent="0.3">
      <c r="B237">
        <v>8</v>
      </c>
      <c r="C237">
        <v>5</v>
      </c>
      <c r="D237">
        <v>2</v>
      </c>
      <c r="E237">
        <v>2</v>
      </c>
      <c r="F237" s="48">
        <v>10.5625698347295</v>
      </c>
      <c r="G237" s="48">
        <v>10.5625</v>
      </c>
      <c r="H237" s="72">
        <v>1.0000066115720201</v>
      </c>
    </row>
    <row r="238" spans="2:8" x14ac:dyDescent="0.3">
      <c r="B238">
        <v>8</v>
      </c>
      <c r="C238">
        <v>5</v>
      </c>
      <c r="D238">
        <v>1</v>
      </c>
      <c r="E238">
        <v>3</v>
      </c>
      <c r="F238" s="48">
        <v>10.562516010119699</v>
      </c>
      <c r="G238" s="48">
        <v>10.5625</v>
      </c>
      <c r="H238" s="72">
        <v>1.0000015157509801</v>
      </c>
    </row>
    <row r="239" spans="2:8" x14ac:dyDescent="0.3">
      <c r="B239">
        <v>8</v>
      </c>
      <c r="C239">
        <v>5</v>
      </c>
      <c r="D239">
        <v>2</v>
      </c>
      <c r="E239">
        <v>3</v>
      </c>
      <c r="F239" s="48">
        <v>6.7600016897480897</v>
      </c>
      <c r="G239" s="48">
        <v>6.76</v>
      </c>
      <c r="H239" s="72">
        <v>1.0000002499627301</v>
      </c>
    </row>
    <row r="240" spans="2:8" x14ac:dyDescent="0.3">
      <c r="B240">
        <v>8</v>
      </c>
      <c r="C240">
        <v>5</v>
      </c>
      <c r="D240">
        <v>3</v>
      </c>
      <c r="E240">
        <v>3</v>
      </c>
      <c r="F240" s="48">
        <v>4.6944579728563802</v>
      </c>
      <c r="G240" s="48">
        <v>4.6944444444444402</v>
      </c>
      <c r="H240" s="72">
        <v>1.00000288179189</v>
      </c>
    </row>
    <row r="241" spans="2:8" x14ac:dyDescent="0.3">
      <c r="B241">
        <v>8</v>
      </c>
      <c r="C241">
        <v>5</v>
      </c>
      <c r="D241">
        <v>1</v>
      </c>
      <c r="E241">
        <v>4</v>
      </c>
      <c r="F241" s="48">
        <v>6.7600154775606196</v>
      </c>
      <c r="G241" s="48">
        <v>6.76</v>
      </c>
      <c r="H241" s="72">
        <v>1.0000022895799701</v>
      </c>
    </row>
    <row r="242" spans="2:8" x14ac:dyDescent="0.3">
      <c r="B242">
        <v>8</v>
      </c>
      <c r="C242">
        <v>5</v>
      </c>
      <c r="D242">
        <v>2</v>
      </c>
      <c r="E242">
        <v>4</v>
      </c>
      <c r="F242" s="48">
        <v>4.6944683837049501</v>
      </c>
      <c r="G242" s="48">
        <v>4.6944444444444402</v>
      </c>
      <c r="H242" s="72">
        <v>1.0000050994874401</v>
      </c>
    </row>
    <row r="243" spans="2:8" x14ac:dyDescent="0.3">
      <c r="B243">
        <v>8</v>
      </c>
      <c r="C243">
        <v>5</v>
      </c>
      <c r="D243">
        <v>3</v>
      </c>
      <c r="E243">
        <v>4</v>
      </c>
      <c r="F243" s="48">
        <v>3.4489940632531</v>
      </c>
      <c r="G243" s="48">
        <v>3.4489795918367299</v>
      </c>
      <c r="H243" s="72">
        <v>1.0000041958544501</v>
      </c>
    </row>
    <row r="244" spans="2:8" x14ac:dyDescent="0.3">
      <c r="B244">
        <v>8</v>
      </c>
      <c r="C244">
        <v>5</v>
      </c>
      <c r="D244">
        <v>4</v>
      </c>
      <c r="E244">
        <v>4</v>
      </c>
      <c r="F244" s="48">
        <v>2.6406282151428702</v>
      </c>
      <c r="G244" s="48">
        <v>2.640625</v>
      </c>
      <c r="H244" s="72">
        <v>1.0000012175688999</v>
      </c>
    </row>
    <row r="245" spans="2:8" x14ac:dyDescent="0.3">
      <c r="B245">
        <v>8</v>
      </c>
      <c r="C245">
        <v>5</v>
      </c>
      <c r="D245">
        <v>1</v>
      </c>
      <c r="E245">
        <v>5</v>
      </c>
      <c r="F245" s="48">
        <v>4.6944629116747096</v>
      </c>
      <c r="G245" s="48">
        <v>4.6944444444444402</v>
      </c>
      <c r="H245" s="72">
        <v>1.0000039338478599</v>
      </c>
    </row>
    <row r="246" spans="2:8" x14ac:dyDescent="0.3">
      <c r="B246">
        <v>8</v>
      </c>
      <c r="C246">
        <v>5</v>
      </c>
      <c r="D246">
        <v>2</v>
      </c>
      <c r="E246">
        <v>5</v>
      </c>
      <c r="F246" s="48">
        <v>3.4489842346122899</v>
      </c>
      <c r="G246" s="48">
        <v>3.4489795918367299</v>
      </c>
      <c r="H246" s="72">
        <v>1.00000134613019</v>
      </c>
    </row>
    <row r="247" spans="2:8" x14ac:dyDescent="0.3">
      <c r="B247">
        <v>8</v>
      </c>
      <c r="C247">
        <v>5</v>
      </c>
      <c r="D247">
        <v>3</v>
      </c>
      <c r="E247">
        <v>5</v>
      </c>
      <c r="F247" s="48">
        <v>2.6406344116480698</v>
      </c>
      <c r="G247" s="48">
        <v>2.640625</v>
      </c>
      <c r="H247" s="72">
        <v>1.00000356417442</v>
      </c>
    </row>
    <row r="248" spans="2:8" x14ac:dyDescent="0.3">
      <c r="B248">
        <v>8</v>
      </c>
      <c r="C248">
        <v>5</v>
      </c>
      <c r="D248">
        <v>4</v>
      </c>
      <c r="E248">
        <v>5</v>
      </c>
      <c r="F248" s="48">
        <v>2.0864208507758</v>
      </c>
      <c r="G248" s="48">
        <v>2.0864197530864099</v>
      </c>
      <c r="H248" s="72">
        <v>1.0000005261114699</v>
      </c>
    </row>
    <row r="249" spans="2:8" x14ac:dyDescent="0.3">
      <c r="B249">
        <v>8</v>
      </c>
      <c r="C249">
        <v>5</v>
      </c>
      <c r="D249">
        <v>5</v>
      </c>
      <c r="E249">
        <v>5</v>
      </c>
      <c r="F249" s="48">
        <v>1.69000363694466</v>
      </c>
      <c r="G249" s="48">
        <v>1.69</v>
      </c>
      <c r="H249" s="72">
        <v>1.00000215203826</v>
      </c>
    </row>
    <row r="250" spans="2:8" x14ac:dyDescent="0.3">
      <c r="B250">
        <v>8</v>
      </c>
      <c r="C250">
        <v>6</v>
      </c>
      <c r="D250">
        <v>1</v>
      </c>
      <c r="E250">
        <v>1</v>
      </c>
      <c r="F250" s="48">
        <v>49.000097267813302</v>
      </c>
      <c r="G250" s="48">
        <v>49</v>
      </c>
      <c r="H250" s="72">
        <v>1.00000198505741</v>
      </c>
    </row>
    <row r="251" spans="2:8" x14ac:dyDescent="0.3">
      <c r="B251">
        <v>8</v>
      </c>
      <c r="C251">
        <v>6</v>
      </c>
      <c r="D251">
        <v>1</v>
      </c>
      <c r="E251">
        <v>2</v>
      </c>
      <c r="F251" s="48">
        <v>21.777796164269802</v>
      </c>
      <c r="G251" s="48">
        <v>21.7777777777777</v>
      </c>
      <c r="H251" s="72">
        <v>1.00000084427769</v>
      </c>
    </row>
    <row r="252" spans="2:8" x14ac:dyDescent="0.3">
      <c r="B252">
        <v>8</v>
      </c>
      <c r="C252">
        <v>6</v>
      </c>
      <c r="D252">
        <v>2</v>
      </c>
      <c r="E252">
        <v>2</v>
      </c>
      <c r="F252" s="48">
        <v>12.2500315324527</v>
      </c>
      <c r="G252" s="48">
        <v>12.25</v>
      </c>
      <c r="H252" s="72">
        <v>1.00000257407777</v>
      </c>
    </row>
    <row r="253" spans="2:8" x14ac:dyDescent="0.3">
      <c r="B253">
        <v>8</v>
      </c>
      <c r="C253">
        <v>6</v>
      </c>
      <c r="D253">
        <v>1</v>
      </c>
      <c r="E253">
        <v>3</v>
      </c>
      <c r="F253" s="48">
        <v>12.250053164031</v>
      </c>
      <c r="G253" s="48">
        <v>12.25</v>
      </c>
      <c r="H253" s="72">
        <v>1.00000433992089</v>
      </c>
    </row>
    <row r="254" spans="2:8" x14ac:dyDescent="0.3">
      <c r="B254">
        <v>8</v>
      </c>
      <c r="C254">
        <v>6</v>
      </c>
      <c r="D254">
        <v>2</v>
      </c>
      <c r="E254">
        <v>3</v>
      </c>
      <c r="F254" s="48">
        <v>7.8400274254621296</v>
      </c>
      <c r="G254" s="48">
        <v>7.8399999999999901</v>
      </c>
      <c r="H254" s="72">
        <v>1.00000349814568</v>
      </c>
    </row>
    <row r="255" spans="2:8" x14ac:dyDescent="0.3">
      <c r="B255">
        <v>8</v>
      </c>
      <c r="C255">
        <v>6</v>
      </c>
      <c r="D255">
        <v>3</v>
      </c>
      <c r="E255">
        <v>3</v>
      </c>
      <c r="F255" s="48">
        <v>5.4444570401276202</v>
      </c>
      <c r="G255" s="48">
        <v>5.4444444444444402</v>
      </c>
      <c r="H255" s="72">
        <v>1.00000231349282</v>
      </c>
    </row>
    <row r="256" spans="2:8" x14ac:dyDescent="0.3">
      <c r="B256">
        <v>8</v>
      </c>
      <c r="C256">
        <v>6</v>
      </c>
      <c r="D256">
        <v>1</v>
      </c>
      <c r="E256">
        <v>4</v>
      </c>
      <c r="F256" s="48">
        <v>7.8400247510232104</v>
      </c>
      <c r="G256" s="48">
        <v>7.8399999999999901</v>
      </c>
      <c r="H256" s="72">
        <v>1.0000031570182599</v>
      </c>
    </row>
    <row r="257" spans="2:8" x14ac:dyDescent="0.3">
      <c r="B257">
        <v>8</v>
      </c>
      <c r="C257">
        <v>6</v>
      </c>
      <c r="D257">
        <v>2</v>
      </c>
      <c r="E257">
        <v>4</v>
      </c>
      <c r="F257" s="48">
        <v>5.4444562206697302</v>
      </c>
      <c r="G257" s="48">
        <v>5.4444444444444402</v>
      </c>
      <c r="H257" s="72">
        <v>1.0000021629801501</v>
      </c>
    </row>
    <row r="258" spans="2:8" x14ac:dyDescent="0.3">
      <c r="B258">
        <v>8</v>
      </c>
      <c r="C258">
        <v>6</v>
      </c>
      <c r="D258">
        <v>3</v>
      </c>
      <c r="E258">
        <v>4</v>
      </c>
      <c r="F258" s="48">
        <v>4.0000100843048703</v>
      </c>
      <c r="G258" s="48">
        <v>4</v>
      </c>
      <c r="H258" s="72">
        <v>1.00000252107621</v>
      </c>
    </row>
    <row r="259" spans="2:8" x14ac:dyDescent="0.3">
      <c r="B259">
        <v>8</v>
      </c>
      <c r="C259">
        <v>6</v>
      </c>
      <c r="D259">
        <v>4</v>
      </c>
      <c r="E259">
        <v>4</v>
      </c>
      <c r="F259" s="48">
        <v>3.0625074972528101</v>
      </c>
      <c r="G259" s="48">
        <v>3.0625</v>
      </c>
      <c r="H259" s="72">
        <v>1.00000244808255</v>
      </c>
    </row>
    <row r="260" spans="2:8" x14ac:dyDescent="0.3">
      <c r="B260">
        <v>8</v>
      </c>
      <c r="C260">
        <v>6</v>
      </c>
      <c r="D260">
        <v>1</v>
      </c>
      <c r="E260">
        <v>5</v>
      </c>
      <c r="F260" s="48">
        <v>5.44445812085499</v>
      </c>
      <c r="G260" s="48">
        <v>5.4444444444444402</v>
      </c>
      <c r="H260" s="72">
        <v>1.0000025119937701</v>
      </c>
    </row>
    <row r="261" spans="2:8" x14ac:dyDescent="0.3">
      <c r="B261">
        <v>8</v>
      </c>
      <c r="C261">
        <v>6</v>
      </c>
      <c r="D261">
        <v>2</v>
      </c>
      <c r="E261">
        <v>5</v>
      </c>
      <c r="F261" s="48">
        <v>4.0000163407796103</v>
      </c>
      <c r="G261" s="48">
        <v>4</v>
      </c>
      <c r="H261" s="72">
        <v>1.0000040851948999</v>
      </c>
    </row>
    <row r="262" spans="2:8" x14ac:dyDescent="0.3">
      <c r="B262">
        <v>8</v>
      </c>
      <c r="C262">
        <v>6</v>
      </c>
      <c r="D262">
        <v>3</v>
      </c>
      <c r="E262">
        <v>5</v>
      </c>
      <c r="F262" s="48">
        <v>3.0625042671342699</v>
      </c>
      <c r="G262" s="48">
        <v>3.0625</v>
      </c>
      <c r="H262" s="72">
        <v>1.0000013933499601</v>
      </c>
    </row>
    <row r="263" spans="2:8" x14ac:dyDescent="0.3">
      <c r="B263">
        <v>8</v>
      </c>
      <c r="C263">
        <v>6</v>
      </c>
      <c r="D263">
        <v>4</v>
      </c>
      <c r="E263">
        <v>5</v>
      </c>
      <c r="F263" s="48">
        <v>2.4197542507730598</v>
      </c>
      <c r="G263" s="48">
        <v>2.4197530864197501</v>
      </c>
      <c r="H263" s="72">
        <v>1.0000004811868199</v>
      </c>
    </row>
    <row r="264" spans="2:8" x14ac:dyDescent="0.3">
      <c r="B264">
        <v>8</v>
      </c>
      <c r="C264">
        <v>6</v>
      </c>
      <c r="D264">
        <v>5</v>
      </c>
      <c r="E264">
        <v>5</v>
      </c>
      <c r="F264" s="48">
        <v>1.96000393657353</v>
      </c>
      <c r="G264" s="48">
        <v>1.95999999999999</v>
      </c>
      <c r="H264" s="72">
        <v>1.0000020084558801</v>
      </c>
    </row>
    <row r="265" spans="2:8" x14ac:dyDescent="0.3">
      <c r="B265">
        <v>8</v>
      </c>
      <c r="C265">
        <v>6</v>
      </c>
      <c r="D265">
        <v>1</v>
      </c>
      <c r="E265">
        <v>6</v>
      </c>
      <c r="F265" s="48">
        <v>4.0000028079598096</v>
      </c>
      <c r="G265" s="48">
        <v>4</v>
      </c>
      <c r="H265" s="72">
        <v>1.0000007019899499</v>
      </c>
    </row>
    <row r="266" spans="2:8" x14ac:dyDescent="0.3">
      <c r="B266">
        <v>8</v>
      </c>
      <c r="C266">
        <v>6</v>
      </c>
      <c r="D266">
        <v>2</v>
      </c>
      <c r="E266">
        <v>6</v>
      </c>
      <c r="F266" s="48">
        <v>3.06250385842048</v>
      </c>
      <c r="G266" s="48">
        <v>3.0625</v>
      </c>
      <c r="H266" s="72">
        <v>1.0000012598924</v>
      </c>
    </row>
    <row r="267" spans="2:8" x14ac:dyDescent="0.3">
      <c r="B267">
        <v>8</v>
      </c>
      <c r="C267">
        <v>6</v>
      </c>
      <c r="D267">
        <v>3</v>
      </c>
      <c r="E267">
        <v>6</v>
      </c>
      <c r="F267" s="48">
        <v>2.4197550132728201</v>
      </c>
      <c r="G267" s="48">
        <v>2.4197530864197501</v>
      </c>
      <c r="H267" s="72">
        <v>1.0000007963015201</v>
      </c>
    </row>
    <row r="268" spans="2:8" x14ac:dyDescent="0.3">
      <c r="B268">
        <v>8</v>
      </c>
      <c r="C268">
        <v>6</v>
      </c>
      <c r="D268">
        <v>4</v>
      </c>
      <c r="E268">
        <v>6</v>
      </c>
      <c r="F268" s="48">
        <v>1.9600061188243501</v>
      </c>
      <c r="G268" s="48">
        <v>1.95999999999999</v>
      </c>
      <c r="H268" s="72">
        <v>1.0000031218491601</v>
      </c>
    </row>
    <row r="269" spans="2:8" x14ac:dyDescent="0.3">
      <c r="B269">
        <v>8</v>
      </c>
      <c r="C269">
        <v>6</v>
      </c>
      <c r="D269">
        <v>5</v>
      </c>
      <c r="E269">
        <v>6</v>
      </c>
      <c r="F269" s="48">
        <v>1.6198398810569601</v>
      </c>
      <c r="G269" s="48">
        <v>1.6198347107438</v>
      </c>
      <c r="H269" s="72">
        <v>1.000003191877</v>
      </c>
    </row>
    <row r="270" spans="2:8" x14ac:dyDescent="0.3">
      <c r="B270">
        <v>8</v>
      </c>
      <c r="C270">
        <v>6</v>
      </c>
      <c r="D270">
        <v>6</v>
      </c>
      <c r="E270">
        <v>6</v>
      </c>
      <c r="F270" s="48">
        <v>1.3611153749599401</v>
      </c>
      <c r="G270" s="48">
        <v>1.3611111111111101</v>
      </c>
      <c r="H270" s="72">
        <v>1.0000031326236301</v>
      </c>
    </row>
    <row r="271" spans="2:8" x14ac:dyDescent="0.3">
      <c r="B271">
        <v>8</v>
      </c>
      <c r="C271">
        <v>7</v>
      </c>
      <c r="D271">
        <v>1</v>
      </c>
      <c r="E271">
        <v>1</v>
      </c>
      <c r="F271" s="48">
        <v>56.250013233005902</v>
      </c>
      <c r="G271" s="48">
        <v>56.25</v>
      </c>
      <c r="H271" s="72">
        <v>1.0000002352534301</v>
      </c>
    </row>
    <row r="272" spans="2:8" x14ac:dyDescent="0.3">
      <c r="B272">
        <v>8</v>
      </c>
      <c r="C272">
        <v>7</v>
      </c>
      <c r="D272">
        <v>1</v>
      </c>
      <c r="E272">
        <v>2</v>
      </c>
      <c r="F272" s="48">
        <v>25.0000406316225</v>
      </c>
      <c r="G272" s="48">
        <v>25</v>
      </c>
      <c r="H272" s="72">
        <v>1.0000016252649</v>
      </c>
    </row>
    <row r="273" spans="2:8" x14ac:dyDescent="0.3">
      <c r="B273">
        <v>8</v>
      </c>
      <c r="C273">
        <v>7</v>
      </c>
      <c r="D273">
        <v>2</v>
      </c>
      <c r="E273">
        <v>2</v>
      </c>
      <c r="F273" s="48">
        <v>14.0625134246065</v>
      </c>
      <c r="G273" s="48">
        <v>14.0625</v>
      </c>
      <c r="H273" s="72">
        <v>1.0000009546386801</v>
      </c>
    </row>
    <row r="274" spans="2:8" x14ac:dyDescent="0.3">
      <c r="B274">
        <v>8</v>
      </c>
      <c r="C274">
        <v>7</v>
      </c>
      <c r="D274">
        <v>1</v>
      </c>
      <c r="E274">
        <v>3</v>
      </c>
      <c r="F274" s="48">
        <v>14.0625467567741</v>
      </c>
      <c r="G274" s="48">
        <v>14.0625</v>
      </c>
      <c r="H274" s="72">
        <v>1.00000332492616</v>
      </c>
    </row>
    <row r="275" spans="2:8" x14ac:dyDescent="0.3">
      <c r="B275">
        <v>8</v>
      </c>
      <c r="C275">
        <v>7</v>
      </c>
      <c r="D275">
        <v>2</v>
      </c>
      <c r="E275">
        <v>3</v>
      </c>
      <c r="F275" s="48">
        <v>9.0000176883490592</v>
      </c>
      <c r="G275" s="48">
        <v>9</v>
      </c>
      <c r="H275" s="72">
        <v>1.0000019653721099</v>
      </c>
    </row>
    <row r="276" spans="2:8" x14ac:dyDescent="0.3">
      <c r="B276">
        <v>8</v>
      </c>
      <c r="C276">
        <v>7</v>
      </c>
      <c r="D276">
        <v>3</v>
      </c>
      <c r="E276">
        <v>3</v>
      </c>
      <c r="F276" s="48">
        <v>6.2500045692965998</v>
      </c>
      <c r="G276" s="48">
        <v>6.25</v>
      </c>
      <c r="H276" s="72">
        <v>1.0000007310874499</v>
      </c>
    </row>
    <row r="277" spans="2:8" x14ac:dyDescent="0.3">
      <c r="B277">
        <v>8</v>
      </c>
      <c r="C277">
        <v>7</v>
      </c>
      <c r="D277">
        <v>1</v>
      </c>
      <c r="E277">
        <v>4</v>
      </c>
      <c r="F277" s="48">
        <v>9.00000592337339</v>
      </c>
      <c r="G277" s="48">
        <v>9</v>
      </c>
      <c r="H277" s="72">
        <v>1.00000065815259</v>
      </c>
    </row>
    <row r="278" spans="2:8" x14ac:dyDescent="0.3">
      <c r="B278">
        <v>8</v>
      </c>
      <c r="C278">
        <v>7</v>
      </c>
      <c r="D278">
        <v>2</v>
      </c>
      <c r="E278">
        <v>4</v>
      </c>
      <c r="F278" s="48">
        <v>6.2500051875790597</v>
      </c>
      <c r="G278" s="48">
        <v>6.25</v>
      </c>
      <c r="H278" s="72">
        <v>1.0000008300126499</v>
      </c>
    </row>
    <row r="279" spans="2:8" x14ac:dyDescent="0.3">
      <c r="B279">
        <v>8</v>
      </c>
      <c r="C279">
        <v>7</v>
      </c>
      <c r="D279">
        <v>3</v>
      </c>
      <c r="E279">
        <v>4</v>
      </c>
      <c r="F279" s="48">
        <v>4.5918504159275804</v>
      </c>
      <c r="G279" s="48">
        <v>4.59183673469387</v>
      </c>
      <c r="H279" s="72">
        <v>1.00000297946867</v>
      </c>
    </row>
    <row r="280" spans="2:8" x14ac:dyDescent="0.3">
      <c r="B280">
        <v>8</v>
      </c>
      <c r="C280">
        <v>7</v>
      </c>
      <c r="D280">
        <v>4</v>
      </c>
      <c r="E280">
        <v>4</v>
      </c>
      <c r="F280" s="48">
        <v>3.5156255948067399</v>
      </c>
      <c r="G280" s="48">
        <v>3.515625</v>
      </c>
      <c r="H280" s="72">
        <v>1.00000016918947</v>
      </c>
    </row>
    <row r="281" spans="2:8" x14ac:dyDescent="0.3">
      <c r="B281">
        <v>8</v>
      </c>
      <c r="C281">
        <v>7</v>
      </c>
      <c r="D281">
        <v>1</v>
      </c>
      <c r="E281">
        <v>5</v>
      </c>
      <c r="F281" s="48">
        <v>6.2500238221248496</v>
      </c>
      <c r="G281" s="48">
        <v>6.25</v>
      </c>
      <c r="H281" s="72">
        <v>1.0000038115399701</v>
      </c>
    </row>
    <row r="282" spans="2:8" x14ac:dyDescent="0.3">
      <c r="B282">
        <v>8</v>
      </c>
      <c r="C282">
        <v>7</v>
      </c>
      <c r="D282">
        <v>2</v>
      </c>
      <c r="E282">
        <v>5</v>
      </c>
      <c r="F282" s="48">
        <v>4.5918455979736299</v>
      </c>
      <c r="G282" s="48">
        <v>4.59183673469387</v>
      </c>
      <c r="H282" s="72">
        <v>1.00000193022536</v>
      </c>
    </row>
    <row r="283" spans="2:8" x14ac:dyDescent="0.3">
      <c r="B283">
        <v>8</v>
      </c>
      <c r="C283">
        <v>7</v>
      </c>
      <c r="D283">
        <v>3</v>
      </c>
      <c r="E283">
        <v>5</v>
      </c>
      <c r="F283" s="48">
        <v>3.5156310550774199</v>
      </c>
      <c r="G283" s="48">
        <v>3.515625</v>
      </c>
      <c r="H283" s="72">
        <v>1.0000017223331299</v>
      </c>
    </row>
    <row r="284" spans="2:8" x14ac:dyDescent="0.3">
      <c r="B284">
        <v>8</v>
      </c>
      <c r="C284">
        <v>7</v>
      </c>
      <c r="D284">
        <v>4</v>
      </c>
      <c r="E284">
        <v>5</v>
      </c>
      <c r="F284" s="48">
        <v>2.7777910180790899</v>
      </c>
      <c r="G284" s="48">
        <v>2.7777777777777701</v>
      </c>
      <c r="H284" s="72">
        <v>1.0000047665084699</v>
      </c>
    </row>
    <row r="285" spans="2:8" x14ac:dyDescent="0.3">
      <c r="B285">
        <v>8</v>
      </c>
      <c r="C285">
        <v>7</v>
      </c>
      <c r="D285">
        <v>5</v>
      </c>
      <c r="E285">
        <v>5</v>
      </c>
      <c r="F285" s="48">
        <v>2.2500071151592098</v>
      </c>
      <c r="G285" s="48">
        <v>2.25</v>
      </c>
      <c r="H285" s="72">
        <v>1.0000031622929799</v>
      </c>
    </row>
    <row r="286" spans="2:8" x14ac:dyDescent="0.3">
      <c r="B286">
        <v>8</v>
      </c>
      <c r="C286">
        <v>7</v>
      </c>
      <c r="D286">
        <v>1</v>
      </c>
      <c r="E286">
        <v>6</v>
      </c>
      <c r="F286" s="48">
        <v>4.5918574660189897</v>
      </c>
      <c r="G286" s="48">
        <v>4.59183673469387</v>
      </c>
      <c r="H286" s="72">
        <v>1.0000045148219101</v>
      </c>
    </row>
    <row r="287" spans="2:8" x14ac:dyDescent="0.3">
      <c r="B287">
        <v>8</v>
      </c>
      <c r="C287">
        <v>7</v>
      </c>
      <c r="D287">
        <v>2</v>
      </c>
      <c r="E287">
        <v>6</v>
      </c>
      <c r="F287" s="48">
        <v>3.5156364221199898</v>
      </c>
      <c r="G287" s="48">
        <v>3.515625</v>
      </c>
      <c r="H287" s="72">
        <v>1.00000324895857</v>
      </c>
    </row>
    <row r="288" spans="2:8" x14ac:dyDescent="0.3">
      <c r="B288">
        <v>8</v>
      </c>
      <c r="C288">
        <v>7</v>
      </c>
      <c r="D288">
        <v>3</v>
      </c>
      <c r="E288">
        <v>6</v>
      </c>
      <c r="F288" s="48">
        <v>2.7777824180233401</v>
      </c>
      <c r="G288" s="48">
        <v>2.7777777777777701</v>
      </c>
      <c r="H288" s="72">
        <v>1.0000016704884001</v>
      </c>
    </row>
    <row r="289" spans="2:8" x14ac:dyDescent="0.3">
      <c r="B289">
        <v>8</v>
      </c>
      <c r="C289">
        <v>7</v>
      </c>
      <c r="D289">
        <v>4</v>
      </c>
      <c r="E289">
        <v>6</v>
      </c>
      <c r="F289" s="48">
        <v>2.2500028470048101</v>
      </c>
      <c r="G289" s="48">
        <v>2.25</v>
      </c>
      <c r="H289" s="72">
        <v>1.00000126533547</v>
      </c>
    </row>
    <row r="290" spans="2:8" x14ac:dyDescent="0.3">
      <c r="B290">
        <v>8</v>
      </c>
      <c r="C290">
        <v>7</v>
      </c>
      <c r="D290">
        <v>5</v>
      </c>
      <c r="E290">
        <v>6</v>
      </c>
      <c r="F290" s="48">
        <v>1.85950760807078</v>
      </c>
      <c r="G290" s="48">
        <v>1.8595041322314001</v>
      </c>
      <c r="H290" s="72">
        <v>1.0000018692291699</v>
      </c>
    </row>
    <row r="291" spans="2:8" x14ac:dyDescent="0.3">
      <c r="B291">
        <v>8</v>
      </c>
      <c r="C291">
        <v>7</v>
      </c>
      <c r="D291">
        <v>6</v>
      </c>
      <c r="E291">
        <v>6</v>
      </c>
      <c r="F291" s="48">
        <v>1.56250232307684</v>
      </c>
      <c r="G291" s="48">
        <v>1.5625</v>
      </c>
      <c r="H291" s="72">
        <v>1.00000148676917</v>
      </c>
    </row>
    <row r="292" spans="2:8" x14ac:dyDescent="0.3">
      <c r="B292">
        <v>8</v>
      </c>
      <c r="C292">
        <v>7</v>
      </c>
      <c r="D292">
        <v>1</v>
      </c>
      <c r="E292">
        <v>7</v>
      </c>
      <c r="F292" s="48">
        <v>3.51563106022981</v>
      </c>
      <c r="G292" s="48">
        <v>3.515625</v>
      </c>
      <c r="H292" s="72">
        <v>1.0000017237987</v>
      </c>
    </row>
    <row r="293" spans="2:8" x14ac:dyDescent="0.3">
      <c r="B293">
        <v>8</v>
      </c>
      <c r="C293">
        <v>7</v>
      </c>
      <c r="D293">
        <v>2</v>
      </c>
      <c r="E293">
        <v>7</v>
      </c>
      <c r="F293" s="48">
        <v>2.7777959664247498</v>
      </c>
      <c r="G293" s="48">
        <v>2.7777777777777701</v>
      </c>
      <c r="H293" s="72">
        <v>1.0000065479129101</v>
      </c>
    </row>
    <row r="294" spans="2:8" x14ac:dyDescent="0.3">
      <c r="B294">
        <v>8</v>
      </c>
      <c r="C294">
        <v>7</v>
      </c>
      <c r="D294">
        <v>3</v>
      </c>
      <c r="E294">
        <v>7</v>
      </c>
      <c r="F294" s="48">
        <v>2.2500067497821998</v>
      </c>
      <c r="G294" s="48">
        <v>2.25</v>
      </c>
      <c r="H294" s="72">
        <v>1.0000029999032001</v>
      </c>
    </row>
    <row r="295" spans="2:8" x14ac:dyDescent="0.3">
      <c r="B295">
        <v>8</v>
      </c>
      <c r="C295">
        <v>7</v>
      </c>
      <c r="D295">
        <v>4</v>
      </c>
      <c r="E295">
        <v>7</v>
      </c>
      <c r="F295" s="48">
        <v>1.8595062822933901</v>
      </c>
      <c r="G295" s="48">
        <v>1.8595041322314001</v>
      </c>
      <c r="H295" s="72">
        <v>1.00000115625556</v>
      </c>
    </row>
    <row r="296" spans="2:8" x14ac:dyDescent="0.3">
      <c r="B296">
        <v>8</v>
      </c>
      <c r="C296">
        <v>7</v>
      </c>
      <c r="D296">
        <v>5</v>
      </c>
      <c r="E296">
        <v>7</v>
      </c>
      <c r="F296" s="48">
        <v>1.56250417559663</v>
      </c>
      <c r="G296" s="48">
        <v>1.5625</v>
      </c>
      <c r="H296" s="72">
        <v>1.00000267238184</v>
      </c>
    </row>
    <row r="297" spans="2:8" x14ac:dyDescent="0.3">
      <c r="B297">
        <v>8</v>
      </c>
      <c r="C297">
        <v>7</v>
      </c>
      <c r="D297">
        <v>6</v>
      </c>
      <c r="E297">
        <v>7</v>
      </c>
      <c r="F297" s="48">
        <v>1.3313638234398399</v>
      </c>
      <c r="G297" s="48">
        <v>1.33136094674556</v>
      </c>
      <c r="H297" s="72">
        <v>1.00000216071703</v>
      </c>
    </row>
    <row r="298" spans="2:8" x14ac:dyDescent="0.3">
      <c r="B298">
        <v>8</v>
      </c>
      <c r="C298">
        <v>7</v>
      </c>
      <c r="D298">
        <v>7</v>
      </c>
      <c r="E298">
        <v>7</v>
      </c>
      <c r="F298" s="48">
        <v>1.14796046526829</v>
      </c>
      <c r="G298" s="48">
        <v>1.1479591836734599</v>
      </c>
      <c r="H298" s="72">
        <v>1.0000011164114899</v>
      </c>
    </row>
    <row r="299" spans="2:8" x14ac:dyDescent="0.3">
      <c r="B299">
        <v>8</v>
      </c>
      <c r="C299">
        <v>8</v>
      </c>
      <c r="D299">
        <v>1</v>
      </c>
      <c r="E299">
        <v>1</v>
      </c>
      <c r="F299" s="48">
        <v>64.000000000019199</v>
      </c>
      <c r="G299" s="48">
        <v>64</v>
      </c>
      <c r="H299" s="72">
        <v>1.0000000000003</v>
      </c>
    </row>
    <row r="300" spans="2:8" x14ac:dyDescent="0.3">
      <c r="B300">
        <v>8</v>
      </c>
      <c r="C300">
        <v>8</v>
      </c>
      <c r="D300">
        <v>1</v>
      </c>
      <c r="E300">
        <v>2</v>
      </c>
      <c r="F300" s="48">
        <v>28.4444975230954</v>
      </c>
      <c r="G300" s="48">
        <v>28.4444444444444</v>
      </c>
      <c r="H300" s="72">
        <v>1.0000018660463199</v>
      </c>
    </row>
    <row r="301" spans="2:8" x14ac:dyDescent="0.3">
      <c r="B301">
        <v>8</v>
      </c>
      <c r="C301">
        <v>8</v>
      </c>
      <c r="D301">
        <v>2</v>
      </c>
      <c r="E301">
        <v>2</v>
      </c>
      <c r="F301" s="48">
        <v>16.000000000004398</v>
      </c>
      <c r="G301" s="48">
        <v>16</v>
      </c>
      <c r="H301" s="72">
        <v>1.00000000000027</v>
      </c>
    </row>
    <row r="302" spans="2:8" x14ac:dyDescent="0.3">
      <c r="B302">
        <v>8</v>
      </c>
      <c r="C302">
        <v>8</v>
      </c>
      <c r="D302">
        <v>1</v>
      </c>
      <c r="E302">
        <v>3</v>
      </c>
      <c r="F302" s="48">
        <v>16.000091139089999</v>
      </c>
      <c r="G302" s="48">
        <v>16</v>
      </c>
      <c r="H302" s="72">
        <v>1.0000056961931201</v>
      </c>
    </row>
    <row r="303" spans="2:8" x14ac:dyDescent="0.3">
      <c r="B303">
        <v>8</v>
      </c>
      <c r="C303">
        <v>8</v>
      </c>
      <c r="D303">
        <v>2</v>
      </c>
      <c r="E303">
        <v>3</v>
      </c>
      <c r="F303" s="48">
        <v>10.24003079279</v>
      </c>
      <c r="G303" s="48">
        <v>10.24</v>
      </c>
      <c r="H303" s="72">
        <v>1.0000030071083901</v>
      </c>
    </row>
    <row r="304" spans="2:8" x14ac:dyDescent="0.3">
      <c r="B304">
        <v>8</v>
      </c>
      <c r="C304">
        <v>8</v>
      </c>
      <c r="D304">
        <v>3</v>
      </c>
      <c r="E304">
        <v>3</v>
      </c>
      <c r="F304" s="48">
        <v>7.1111111113099703</v>
      </c>
      <c r="G304" s="48">
        <v>7.1111111111111098</v>
      </c>
      <c r="H304" s="72">
        <v>1.0000000000279601</v>
      </c>
    </row>
    <row r="305" spans="2:8" x14ac:dyDescent="0.3">
      <c r="B305">
        <v>8</v>
      </c>
      <c r="C305">
        <v>8</v>
      </c>
      <c r="D305">
        <v>1</v>
      </c>
      <c r="E305">
        <v>4</v>
      </c>
      <c r="F305" s="48">
        <v>10.240005866852901</v>
      </c>
      <c r="G305" s="48">
        <v>10.24</v>
      </c>
      <c r="H305" s="72">
        <v>1.00000057293485</v>
      </c>
    </row>
    <row r="306" spans="2:8" x14ac:dyDescent="0.3">
      <c r="B306">
        <v>8</v>
      </c>
      <c r="C306">
        <v>8</v>
      </c>
      <c r="D306">
        <v>2</v>
      </c>
      <c r="E306">
        <v>4</v>
      </c>
      <c r="F306" s="48">
        <v>7.1111191922007002</v>
      </c>
      <c r="G306" s="48">
        <v>7.1111111111111098</v>
      </c>
      <c r="H306" s="72">
        <v>1.00000113640322</v>
      </c>
    </row>
    <row r="307" spans="2:8" x14ac:dyDescent="0.3">
      <c r="B307">
        <v>8</v>
      </c>
      <c r="C307">
        <v>8</v>
      </c>
      <c r="D307">
        <v>3</v>
      </c>
      <c r="E307">
        <v>4</v>
      </c>
      <c r="F307" s="48">
        <v>5.2244949020659899</v>
      </c>
      <c r="G307" s="48">
        <v>5.2244897959183598</v>
      </c>
      <c r="H307" s="72">
        <v>1.0000009773485601</v>
      </c>
    </row>
    <row r="308" spans="2:8" x14ac:dyDescent="0.3">
      <c r="B308">
        <v>8</v>
      </c>
      <c r="C308">
        <v>8</v>
      </c>
      <c r="D308">
        <v>4</v>
      </c>
      <c r="E308">
        <v>4</v>
      </c>
      <c r="F308" s="48">
        <v>4.0000000000009299</v>
      </c>
      <c r="G308" s="48">
        <v>4</v>
      </c>
      <c r="H308" s="72">
        <v>1.00000000000023</v>
      </c>
    </row>
    <row r="309" spans="2:8" x14ac:dyDescent="0.3">
      <c r="B309">
        <v>8</v>
      </c>
      <c r="C309">
        <v>8</v>
      </c>
      <c r="D309">
        <v>1</v>
      </c>
      <c r="E309">
        <v>5</v>
      </c>
      <c r="F309" s="48">
        <v>7.1111392771527502</v>
      </c>
      <c r="G309" s="48">
        <v>7.1111111111111098</v>
      </c>
      <c r="H309" s="72">
        <v>1.0000039608496001</v>
      </c>
    </row>
    <row r="310" spans="2:8" x14ac:dyDescent="0.3">
      <c r="B310">
        <v>8</v>
      </c>
      <c r="C310">
        <v>8</v>
      </c>
      <c r="D310">
        <v>2</v>
      </c>
      <c r="E310">
        <v>5</v>
      </c>
      <c r="F310" s="48">
        <v>5.2245139223625898</v>
      </c>
      <c r="G310" s="48">
        <v>5.2244897959183598</v>
      </c>
      <c r="H310" s="72">
        <v>1.00000461795221</v>
      </c>
    </row>
    <row r="311" spans="2:8" x14ac:dyDescent="0.3">
      <c r="B311">
        <v>8</v>
      </c>
      <c r="C311">
        <v>8</v>
      </c>
      <c r="D311">
        <v>3</v>
      </c>
      <c r="E311">
        <v>5</v>
      </c>
      <c r="F311" s="48">
        <v>4.0000076529331201</v>
      </c>
      <c r="G311" s="48">
        <v>4</v>
      </c>
      <c r="H311" s="72">
        <v>1.00000191323328</v>
      </c>
    </row>
    <row r="312" spans="2:8" x14ac:dyDescent="0.3">
      <c r="B312">
        <v>8</v>
      </c>
      <c r="C312">
        <v>8</v>
      </c>
      <c r="D312">
        <v>4</v>
      </c>
      <c r="E312">
        <v>5</v>
      </c>
      <c r="F312" s="48">
        <v>3.1605060988929701</v>
      </c>
      <c r="G312" s="48">
        <v>3.1604938271604901</v>
      </c>
      <c r="H312" s="72">
        <v>1.0000038828528499</v>
      </c>
    </row>
    <row r="313" spans="2:8" x14ac:dyDescent="0.3">
      <c r="B313">
        <v>8</v>
      </c>
      <c r="C313">
        <v>8</v>
      </c>
      <c r="D313">
        <v>5</v>
      </c>
      <c r="E313">
        <v>5</v>
      </c>
      <c r="F313" s="48">
        <v>2.5600000000000902</v>
      </c>
      <c r="G313" s="48">
        <v>2.56</v>
      </c>
      <c r="H313" s="72">
        <v>1.00000000000003</v>
      </c>
    </row>
    <row r="314" spans="2:8" x14ac:dyDescent="0.3">
      <c r="B314">
        <v>8</v>
      </c>
      <c r="C314">
        <v>8</v>
      </c>
      <c r="D314">
        <v>1</v>
      </c>
      <c r="E314">
        <v>6</v>
      </c>
      <c r="F314" s="48">
        <v>5.2245004704905202</v>
      </c>
      <c r="G314" s="48">
        <v>5.2244897959183598</v>
      </c>
      <c r="H314" s="72">
        <v>1.00000204317982</v>
      </c>
    </row>
    <row r="315" spans="2:8" x14ac:dyDescent="0.3">
      <c r="B315">
        <v>8</v>
      </c>
      <c r="C315">
        <v>8</v>
      </c>
      <c r="D315">
        <v>2</v>
      </c>
      <c r="E315">
        <v>6</v>
      </c>
      <c r="F315" s="48">
        <v>4.0000208242864996</v>
      </c>
      <c r="G315" s="48">
        <v>4</v>
      </c>
      <c r="H315" s="72">
        <v>1.00000520607162</v>
      </c>
    </row>
    <row r="316" spans="2:8" x14ac:dyDescent="0.3">
      <c r="B316">
        <v>8</v>
      </c>
      <c r="C316">
        <v>8</v>
      </c>
      <c r="D316">
        <v>3</v>
      </c>
      <c r="E316">
        <v>6</v>
      </c>
      <c r="F316" s="48">
        <v>3.16049681372915</v>
      </c>
      <c r="G316" s="48">
        <v>3.1604938271604901</v>
      </c>
      <c r="H316" s="72">
        <v>1.0000009449689899</v>
      </c>
    </row>
    <row r="317" spans="2:8" x14ac:dyDescent="0.3">
      <c r="B317">
        <v>8</v>
      </c>
      <c r="C317">
        <v>8</v>
      </c>
      <c r="D317">
        <v>4</v>
      </c>
      <c r="E317">
        <v>6</v>
      </c>
      <c r="F317" s="48">
        <v>2.5600015934429199</v>
      </c>
      <c r="G317" s="48">
        <v>2.56</v>
      </c>
      <c r="H317" s="72">
        <v>1.00000062243864</v>
      </c>
    </row>
    <row r="318" spans="2:8" x14ac:dyDescent="0.3">
      <c r="B318">
        <v>8</v>
      </c>
      <c r="C318">
        <v>8</v>
      </c>
      <c r="D318">
        <v>5</v>
      </c>
      <c r="E318">
        <v>6</v>
      </c>
      <c r="F318" s="48">
        <v>2.11570962122603</v>
      </c>
      <c r="G318" s="48">
        <v>2.1157024793388399</v>
      </c>
      <c r="H318" s="72">
        <v>1.0000033756576101</v>
      </c>
    </row>
    <row r="319" spans="2:8" x14ac:dyDescent="0.3">
      <c r="B319">
        <v>8</v>
      </c>
      <c r="C319">
        <v>8</v>
      </c>
      <c r="D319">
        <v>6</v>
      </c>
      <c r="E319">
        <v>6</v>
      </c>
      <c r="F319" s="48">
        <v>1.7777777777778201</v>
      </c>
      <c r="G319" s="48">
        <v>1.7777777777777699</v>
      </c>
      <c r="H319" s="72">
        <v>1.00000000000002</v>
      </c>
    </row>
    <row r="320" spans="2:8" x14ac:dyDescent="0.3">
      <c r="B320">
        <v>8</v>
      </c>
      <c r="C320">
        <v>8</v>
      </c>
      <c r="D320">
        <v>1</v>
      </c>
      <c r="E320">
        <v>7</v>
      </c>
      <c r="F320" s="48">
        <v>4.0000213234816497</v>
      </c>
      <c r="G320" s="48">
        <v>4</v>
      </c>
      <c r="H320" s="72">
        <v>1.00000533087041</v>
      </c>
    </row>
    <row r="321" spans="2:8" x14ac:dyDescent="0.3">
      <c r="B321">
        <v>8</v>
      </c>
      <c r="C321">
        <v>8</v>
      </c>
      <c r="D321">
        <v>2</v>
      </c>
      <c r="E321">
        <v>7</v>
      </c>
      <c r="F321" s="48">
        <v>3.16051321179684</v>
      </c>
      <c r="G321" s="48">
        <v>3.1604938271604901</v>
      </c>
      <c r="H321" s="72">
        <v>1.00000613342009</v>
      </c>
    </row>
    <row r="322" spans="2:8" x14ac:dyDescent="0.3">
      <c r="B322">
        <v>8</v>
      </c>
      <c r="C322">
        <v>8</v>
      </c>
      <c r="D322">
        <v>3</v>
      </c>
      <c r="E322">
        <v>7</v>
      </c>
      <c r="F322" s="48">
        <v>2.5600018718647699</v>
      </c>
      <c r="G322" s="48">
        <v>2.56</v>
      </c>
      <c r="H322" s="72">
        <v>1.0000007311971699</v>
      </c>
    </row>
    <row r="323" spans="2:8" x14ac:dyDescent="0.3">
      <c r="B323">
        <v>8</v>
      </c>
      <c r="C323">
        <v>8</v>
      </c>
      <c r="D323">
        <v>4</v>
      </c>
      <c r="E323">
        <v>7</v>
      </c>
      <c r="F323" s="48">
        <v>2.1157160792318601</v>
      </c>
      <c r="G323" s="48">
        <v>2.1157024793388399</v>
      </c>
      <c r="H323" s="72">
        <v>1.0000064280744301</v>
      </c>
    </row>
    <row r="324" spans="2:8" x14ac:dyDescent="0.3">
      <c r="B324">
        <v>8</v>
      </c>
      <c r="C324">
        <v>8</v>
      </c>
      <c r="D324">
        <v>5</v>
      </c>
      <c r="E324">
        <v>7</v>
      </c>
      <c r="F324" s="48">
        <v>1.7777787933087399</v>
      </c>
      <c r="G324" s="48">
        <v>1.7777777777777699</v>
      </c>
      <c r="H324" s="72">
        <v>1.0000005712361599</v>
      </c>
    </row>
    <row r="325" spans="2:8" x14ac:dyDescent="0.3">
      <c r="B325">
        <v>8</v>
      </c>
      <c r="C325">
        <v>8</v>
      </c>
      <c r="D325">
        <v>6</v>
      </c>
      <c r="E325">
        <v>7</v>
      </c>
      <c r="F325" s="48">
        <v>1.5147945306160899</v>
      </c>
      <c r="G325" s="48">
        <v>1.51479289940828</v>
      </c>
      <c r="H325" s="72">
        <v>1.00000107685203</v>
      </c>
    </row>
    <row r="326" spans="2:8" x14ac:dyDescent="0.3">
      <c r="B326">
        <v>8</v>
      </c>
      <c r="C326">
        <v>8</v>
      </c>
      <c r="D326">
        <v>7</v>
      </c>
      <c r="E326">
        <v>7</v>
      </c>
      <c r="F326" s="48">
        <v>1.3061224489797401</v>
      </c>
      <c r="G326" s="48">
        <v>1.30612244897959</v>
      </c>
      <c r="H326" s="72">
        <v>1.0000000000001099</v>
      </c>
    </row>
    <row r="327" spans="2:8" x14ac:dyDescent="0.3">
      <c r="B327">
        <v>8</v>
      </c>
      <c r="C327">
        <v>8</v>
      </c>
      <c r="D327">
        <v>1</v>
      </c>
      <c r="E327">
        <v>8</v>
      </c>
      <c r="F327" s="48">
        <v>3.1605127131184401</v>
      </c>
      <c r="G327" s="48">
        <v>3.1604938271604901</v>
      </c>
      <c r="H327" s="72">
        <v>1.0000059756351301</v>
      </c>
    </row>
    <row r="328" spans="2:8" x14ac:dyDescent="0.3">
      <c r="B328">
        <v>8</v>
      </c>
      <c r="C328">
        <v>8</v>
      </c>
      <c r="D328">
        <v>2</v>
      </c>
      <c r="E328">
        <v>8</v>
      </c>
      <c r="F328" s="48">
        <v>2.56002783264795</v>
      </c>
      <c r="G328" s="48">
        <v>2.56</v>
      </c>
      <c r="H328" s="72">
        <v>1.0000108721281</v>
      </c>
    </row>
    <row r="329" spans="2:8" x14ac:dyDescent="0.3">
      <c r="B329">
        <v>8</v>
      </c>
      <c r="C329">
        <v>8</v>
      </c>
      <c r="D329">
        <v>3</v>
      </c>
      <c r="E329">
        <v>8</v>
      </c>
      <c r="F329" s="48">
        <v>2.1157137323788602</v>
      </c>
      <c r="G329" s="48">
        <v>2.1157024793388399</v>
      </c>
      <c r="H329" s="72">
        <v>1.00000531881969</v>
      </c>
    </row>
    <row r="330" spans="2:8" x14ac:dyDescent="0.3">
      <c r="B330">
        <v>8</v>
      </c>
      <c r="C330">
        <v>8</v>
      </c>
      <c r="D330">
        <v>4</v>
      </c>
      <c r="E330">
        <v>8</v>
      </c>
      <c r="F330" s="48">
        <v>1.7777820511450899</v>
      </c>
      <c r="G330" s="48">
        <v>1.7777777777777699</v>
      </c>
      <c r="H330" s="72">
        <v>1.00000240376911</v>
      </c>
    </row>
    <row r="331" spans="2:8" x14ac:dyDescent="0.3">
      <c r="B331">
        <v>8</v>
      </c>
      <c r="C331">
        <v>8</v>
      </c>
      <c r="D331">
        <v>5</v>
      </c>
      <c r="E331">
        <v>8</v>
      </c>
      <c r="F331" s="48">
        <v>1.51479784873642</v>
      </c>
      <c r="G331" s="48">
        <v>1.51479289940828</v>
      </c>
      <c r="H331" s="72">
        <v>1.0000032673299</v>
      </c>
    </row>
    <row r="332" spans="2:8" x14ac:dyDescent="0.3">
      <c r="B332">
        <v>8</v>
      </c>
      <c r="C332">
        <v>8</v>
      </c>
      <c r="D332">
        <v>6</v>
      </c>
      <c r="E332">
        <v>8</v>
      </c>
      <c r="F332" s="48">
        <v>1.3061335691307601</v>
      </c>
      <c r="G332" s="48">
        <v>1.30612244897959</v>
      </c>
      <c r="H332" s="72">
        <v>1.00000851386574</v>
      </c>
    </row>
    <row r="333" spans="2:8" x14ac:dyDescent="0.3">
      <c r="B333">
        <v>8</v>
      </c>
      <c r="C333">
        <v>8</v>
      </c>
      <c r="D333">
        <v>7</v>
      </c>
      <c r="E333">
        <v>8</v>
      </c>
      <c r="F333" s="48">
        <v>1.13777788933316</v>
      </c>
      <c r="G333" s="48">
        <v>1.13777777777777</v>
      </c>
      <c r="H333" s="72">
        <v>1.0000000980467201</v>
      </c>
    </row>
    <row r="334" spans="2:8" x14ac:dyDescent="0.3">
      <c r="B334">
        <v>8</v>
      </c>
      <c r="C334">
        <v>8</v>
      </c>
      <c r="D334">
        <v>8</v>
      </c>
      <c r="E334">
        <v>8</v>
      </c>
      <c r="F334" s="48">
        <v>1</v>
      </c>
      <c r="G334" s="48">
        <v>1</v>
      </c>
      <c r="H334" s="72">
        <v>1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Sheet1</vt:lpstr>
      <vt:lpstr>Sheet2</vt:lpstr>
      <vt:lpstr>SigmaSolver</vt:lpstr>
      <vt:lpstr>1Mode case</vt:lpstr>
      <vt:lpstr>2Mode Case</vt:lpstr>
      <vt:lpstr>2Mode Case (Cooling )</vt:lpstr>
      <vt:lpstr>Sheet4</vt:lpstr>
      <vt:lpstr>Sheet3</vt:lpstr>
      <vt:lpstr>'2Mode Case'!Chi</vt:lpstr>
      <vt:lpstr>'2Mode Case (Cooling )'!Chi_1</vt:lpstr>
      <vt:lpstr>'2Mode Case (Cooling )'!Chi_2</vt:lpstr>
      <vt:lpstr>'2Mode Case'!Diffusion</vt:lpstr>
      <vt:lpstr>'2Mode Case (Cooling )'!Diffusion</vt:lpstr>
      <vt:lpstr>'2Mode Case'!Drift</vt:lpstr>
      <vt:lpstr>'2Mode Case (Cooling )'!Drift</vt:lpstr>
      <vt:lpstr>'1Mode case'!Hamiltonian</vt:lpstr>
      <vt:lpstr>'2Mode Case'!Hamiltonian</vt:lpstr>
      <vt:lpstr>'2Mode Case (Cooling )'!Hamiltonian</vt:lpstr>
      <vt:lpstr>'2Mode Case (Cooling )'!Identity</vt:lpstr>
      <vt:lpstr>Identity</vt:lpstr>
      <vt:lpstr>'2Mode Case (Cooling )'!Kappa1</vt:lpstr>
      <vt:lpstr>'2Mode Case (Cooling )'!Kappa2</vt:lpstr>
      <vt:lpstr>'2Mode Case'!Lower</vt:lpstr>
      <vt:lpstr>'2Mode Case (Cooling )'!Lower</vt:lpstr>
      <vt:lpstr>'2Mode Case (Cooling )'!N</vt:lpstr>
      <vt:lpstr>'1Mode case'!Symplectic</vt:lpstr>
      <vt:lpstr>'2Mode Case'!Symplectic</vt:lpstr>
      <vt:lpstr>'2Mode Case (Cooling )'!Symplectic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Razzle</dc:creator>
  <cp:lastModifiedBy>Razzle</cp:lastModifiedBy>
  <dcterms:created xsi:type="dcterms:W3CDTF">2017-06-09T12:09:33Z</dcterms:created>
  <dcterms:modified xsi:type="dcterms:W3CDTF">2017-08-23T14:40:12Z</dcterms:modified>
</cp:coreProperties>
</file>